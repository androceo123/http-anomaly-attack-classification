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b69a0a813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b79e36718494e85"/>
    <x:sheet xmlns:r="http://schemas.openxmlformats.org/officeDocument/2006/relationships" name="Combos exactas" sheetId="2" r:id="R78e46bd69eb445a6"/>
    <x:sheet xmlns:r="http://schemas.openxmlformats.org/officeDocument/2006/relationships" name="Por cantidad" sheetId="3" r:id="Rcbbb0fa5a0ff482a"/>
    <x:sheet xmlns:r="http://schemas.openxmlformats.org/officeDocument/2006/relationships" name="Ataques individuales" sheetId="4" r:id="R774ff7ef04c34944"/>
    <x:sheet xmlns:r="http://schemas.openxmlformats.org/officeDocument/2006/relationships" name="Coocurrencias 2" sheetId="5" r:id="Rfdb1e2dbf4be4190"/>
    <x:sheet xmlns:r="http://schemas.openxmlformats.org/officeDocument/2006/relationships" name="Coocurrencias 3" sheetId="6" r:id="R619ae5e3469b4e1c"/>
    <x:sheet xmlns:r="http://schemas.openxmlformats.org/officeDocument/2006/relationships" name="Diccionario" sheetId="7" r:id="R7bf09568206a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6">
    <x:font>
      <x:sz val="11"/>
      <x:name val="Carlito"/>
    </x:font>
    <x:font>
      <x:b/>
      <x:sz val="18"/>
      <x:color rgb="FF111827"/>
      <x:name val="Carlito"/>
    </x:font>
    <x:font>
      <x:i/>
      <x:sz val="11"/>
      <x:color rgb="FF374151"/>
      <x:name val="Carlito"/>
    </x:font>
    <x:font>
      <x:b/>
      <x:sz val="11"/>
      <x:color rgb="FF064E3B"/>
      <x:name val="Carlito"/>
    </x:font>
    <x:font>
      <x:sz val="11"/>
      <x:color rgb="FF92400E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F0FDF4"/>
      </x:patternFill>
    </x:fill>
    <x:fill>
      <x:patternFill patternType="solid">
        <x:fgColor rgb="FFF9FAFB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0" fontId="0" fillId="4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/>
    </x:xf>
    <x:xf numFmtId="200" fontId="0" fillId="4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e6bccac9844b9" /><Relationship Type="http://schemas.openxmlformats.org/officeDocument/2006/relationships/theme" Target="/xl/theme/theme1.xml" Id="R35acbf27c6f54f47" /><Relationship Type="http://schemas.openxmlformats.org/officeDocument/2006/relationships/sharedStrings" Target="/xl/sharedStrings.xml" Id="Rd22ed1c82c414d4a" /><Relationship Type="http://schemas.openxmlformats.org/officeDocument/2006/relationships/worksheet" Target="/xl/worksheets/sheet1.xml" Id="R0b79e36718494e85" /><Relationship Type="http://schemas.openxmlformats.org/officeDocument/2006/relationships/worksheet" Target="/xl/worksheets/sheet2.xml" Id="R78e46bd69eb445a6" /><Relationship Type="http://schemas.openxmlformats.org/officeDocument/2006/relationships/worksheet" Target="/xl/worksheets/sheet3.xml" Id="Rcbbb0fa5a0ff482a" /><Relationship Type="http://schemas.openxmlformats.org/officeDocument/2006/relationships/worksheet" Target="/xl/worksheets/sheet4.xml" Id="R774ff7ef04c34944" /><Relationship Type="http://schemas.openxmlformats.org/officeDocument/2006/relationships/worksheet" Target="/xl/worksheets/sheet5.xml" Id="Rfdb1e2dbf4be4190" /><Relationship Type="http://schemas.openxmlformats.org/officeDocument/2006/relationships/worksheet" Target="/xl/worksheets/sheet6.xml" Id="R619ae5e3469b4e1c" /><Relationship Type="http://schemas.openxmlformats.org/officeDocument/2006/relationships/worksheet" Target="/xl/worksheets/sheet7.xml" Id="R7bf09568206a4b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8c93e0f8274fd9" /><Relationship Type="http://schemas.openxmlformats.org/officeDocument/2006/relationships/chart" Target="/xl/drawings/charts/chart2.xml" Id="Re608d52fb5cb4f6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2b56ce4b474488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5bd1a66d1e9490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Requests</c:v>
          </c:tx>
          <c:cat>
            <c:strRef>
              <c:f>'Resumen'!$D$18:$D$22</c:f>
              <c:strCache>
                <c:ptCount val="0"/>
              </c:strCache>
            </c:strRef>
          </c:cat>
          <c:val>
            <c:numRef>
              <c:f>'Resumen'!$E$18:$E$22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Requests</c:v>
          </c:tx>
          <c:cat>
            <c:strRef>
              <c:f>'Resumen'!$E$5:$E$14</c:f>
              <c:strCache>
                <c:ptCount val="0"/>
              </c:strCache>
            </c:strRef>
          </c:cat>
          <c:val>
            <c:numRef>
              <c:f>'Resumen'!$F$5:$F$14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Requests</c:v>
          </c:tx>
          <c:cat>
            <c:strRef>
              <c:f>'Por cantidad'!$A$2:$A$6</c:f>
              <c:strCache>
                <c:ptCount val="0"/>
              </c:strCache>
            </c:strRef>
          </c:cat>
          <c:val>
            <c:numRef>
              <c:f>'Por cantidad'!$B$2:$B$6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Requests</c:v>
          </c:tx>
          <c:cat>
            <c:strRef>
              <c:f>'Ataques individuales'!$C$2:$C$14</c:f>
              <c:strCache>
                <c:ptCount val="0"/>
              </c:strCache>
            </c:strRef>
          </c:cat>
          <c:val>
            <c:numRef>
              <c:f>'Ataques individuales'!$D$2:$D$14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8c93e0f8274fd9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08d52fb5cb4f6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b56ce4b474488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bd1a66d1e9490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bosExactasTable" displayName="CombosExactasTable" ref="A3:T63" headerRowCount="1">
  <x:tableColumns count="20">
    <x:tableColumn id="1" name="Rank"/>
    <x:tableColumn id="2" name="N ataques"/>
    <x:tableColumn id="3" name="Combinación exacta (excluye 000 - Normal)"/>
    <x:tableColumn id="4" name="CAPEC IDs"/>
    <x:tableColumn id="5" name="Requests"/>
    <x:tableColumn id="6" name="% total"/>
    <x:tableColumn id="7" name="% requests con ataque"/>
    <x:tableColumn id="8" name="272 - Protocol Manipulation"/>
    <x:tableColumn id="9" name="242 - Code Injection"/>
    <x:tableColumn id="10" name="88 - OS Command Injection"/>
    <x:tableColumn id="11" name="126 - Path Traversal"/>
    <x:tableColumn id="12" name="66 - SQL Injection"/>
    <x:tableColumn id="13" name="16 - Dictionary-based Password Attack"/>
    <x:tableColumn id="14" name="310 - Scanning for Vulnerable Software"/>
    <x:tableColumn id="15" name="153 - Input Data Manipulation"/>
    <x:tableColumn id="16" name="248 - Command Injection"/>
    <x:tableColumn id="17" name="274 - HTTP Verb Tampering"/>
    <x:tableColumn id="18" name="194 - Fake the Source of Data"/>
    <x:tableColumn id="19" name="34 - HTTP Response Splitting"/>
    <x:tableColumn id="20" name="33 - HTTP Request Smuggling"/>
  </x:tableColumns>
  <x:tableStyleInfo name="TableStyleMedium2" showRowStripes="1"/>
</x:table>
</file>

<file path=xl/tables/table2.xml><?xml version="1.0" encoding="utf-8"?>
<x:table xmlns:x="http://schemas.openxmlformats.org/spreadsheetml/2006/main" id="2" name="PorCantidadTable" displayName="PorCantidadTable" ref="A1:D6" headerRowCount="1">
  <x:tableColumns count="4">
    <x:tableColumn id="1" name="N ataques en el request"/>
    <x:tableColumn id="2" name="Requests"/>
    <x:tableColumn id="3" name="% total"/>
    <x:tableColumn id="4" name="Combinaciones exactas distintas"/>
  </x:tableColumns>
  <x:tableStyleInfo name="TableStyleMedium2" showRowStripes="1"/>
</x:table>
</file>

<file path=xl/tables/table3.xml><?xml version="1.0" encoding="utf-8"?>
<x:table xmlns:x="http://schemas.openxmlformats.org/spreadsheetml/2006/main" id="3" name="AtaquesIndividualesTable" displayName="AtaquesIndividualesTable" ref="A1:F14" headerRowCount="1">
  <x:tableColumns count="6">
    <x:tableColumn id="1" name="Rank"/>
    <x:tableColumn id="2" name="CAPEC ID"/>
    <x:tableColumn id="3" name="Ataque"/>
    <x:tableColumn id="4" name="Requests que lo contienen"/>
    <x:tableColumn id="5" name="% total"/>
    <x:tableColumn id="6" name="% requests con ataque"/>
  </x:tableColumns>
  <x:tableStyleInfo name="TableStyleMedium2" showRowStripes="1"/>
</x:table>
</file>

<file path=xl/tables/table4.xml><?xml version="1.0" encoding="utf-8"?>
<x:table xmlns:x="http://schemas.openxmlformats.org/spreadsheetml/2006/main" id="4" name="Coocurrencias2Table" displayName="Coocurrencias2Table" ref="A1:G39" headerRowCount="1">
  <x:tableColumns count="7">
    <x:tableColumn id="1" name="Rank"/>
    <x:tableColumn id="2" name="Ataque A"/>
    <x:tableColumn id="3" name="Ataque B"/>
    <x:tableColumn id="4" name="Requests que contienen ambos"/>
    <x:tableColumn id="5" name="% total"/>
    <x:tableColumn id="6" name="% requests con ataque"/>
    <x:tableColumn id="7" name="Nota"/>
  </x:tableColumns>
  <x:tableStyleInfo name="TableStyleMedium2" showRowStripes="1"/>
</x:table>
</file>

<file path=xl/tables/table5.xml><?xml version="1.0" encoding="utf-8"?>
<x:table xmlns:x="http://schemas.openxmlformats.org/spreadsheetml/2006/main" id="5" name="Coocurrencias3Table" displayName="Coocurrencias3Table" ref="A1:H23" headerRowCount="1">
  <x:tableColumns count="8">
    <x:tableColumn id="1" name="Rank"/>
    <x:tableColumn id="2" name="Ataque A"/>
    <x:tableColumn id="3" name="Ataque B"/>
    <x:tableColumn id="4" name="Ataque C"/>
    <x:tableColumn id="5" name="Requests que contienen los tres"/>
    <x:tableColumn id="6" name="% total"/>
    <x:tableColumn id="7" name="% requests con ataqu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DiccionarioTable" displayName="DiccionarioTable" ref="A1:F15" headerRowCount="1">
  <x:tableColumns count="6">
    <x:tableColumn id="1" name="Orden en CSV"/>
    <x:tableColumn id="2" name="Columna original"/>
    <x:tableColumn id="3" name="Tipo"/>
    <x:tableColumn id="4" name="CAPEC ID"/>
    <x:tableColumn id="5" name="Nombre"/>
    <x:tableColumn id="6" name="Interpretación usa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23c3cb9a4b49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fd9ba0dd8c43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99145b9ca38419f" /><Relationship Type="http://schemas.openxmlformats.org/officeDocument/2006/relationships/table" Target="/xl/tables/table2.xml" Id="Reaa8671ee8ed4e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63903af07aa4769" /><Relationship Type="http://schemas.openxmlformats.org/officeDocument/2006/relationships/table" Target="/xl/tables/table3.xml" Id="Rf198a212dc8a4c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e8f93473c242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a24578934141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c9cb810ea54fa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4" max="4" width="12" hidden="0" customWidth="1"/>
    <x:col min="5" max="5" width="42" hidden="0" customWidth="1"/>
    <x:col min="6" max="6" width="16" hidden="0" customWidth="1"/>
    <x:col min="7" max="7" width="20" hidden="0" customWidth="1"/>
  </x:cols>
  <x:sheetData>
    <x:row r="1" ht="28" customHeight="1">
      <x:c r="A1" s="44" t="str">
        <x:v>Análisis de combinaciones de ataques CAPEC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 ht="24" customHeight="1">
      <x:c r="A2" s="46" t="str">
        <x:v>Conteo exacto por conjunto de etiquetas de ataque. “000 - Normal” se trata como ausencia de ataque, no como ataque.</x:v>
      </x:c>
      <x:c r="B2" s="45" t="str"/>
      <x:c r="C2" s="45" t="str"/>
      <x:c r="D2" s="45" t="str"/>
      <x:c r="E2" s="45" t="str"/>
      <x:c r="F2" s="45" t="str"/>
      <x:c r="G2" s="45" t="str"/>
      <x:c r="H2" s="45" t="str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7" t="str">
        <x:v>Archivo analizado</x:v>
      </x:c>
      <x:c r="B4" s="48" t="str">
        <x:v>data_capec_multilabel.csv</x:v>
      </x:c>
      <x:c r="C4" s="45"/>
      <x:c r="D4" s="49" t="str">
        <x:v>N ataques</x:v>
      </x:c>
      <x:c r="E4" s="49" t="str">
        <x:v>Top 10 combinaciones exactas con ataque</x:v>
      </x:c>
      <x:c r="F4" s="49" t="str">
        <x:v>Requests</x:v>
      </x:c>
      <x:c r="G4" s="45"/>
      <x:c r="H4" s="45"/>
    </x:row>
    <x:row r="5">
      <x:c r="A5" s="47" t="str">
        <x:v>Requests totales en CSV</x:v>
      </x:c>
      <x:c r="B5" s="48" t="n">
        <x:v>907815</x:v>
      </x:c>
      <x:c r="C5" s="45"/>
      <x:c r="D5" s="45" t="n">
        <x:v>1</x:v>
      </x:c>
      <x:c r="E5" s="50" t="str">
        <x:v>66 - SQL Injection</x:v>
      </x:c>
      <x:c r="F5" s="51" t="n">
        <x:v>248093</x:v>
      </x:c>
      <x:c r="G5" s="45"/>
      <x:c r="H5" s="45"/>
    </x:row>
    <x:row r="6">
      <x:c r="A6" s="47" t="str">
        <x:v>Requests válidos</x:v>
      </x:c>
      <x:c r="B6" s="48" t="n">
        <x:v>907815</x:v>
      </x:c>
      <x:c r="C6" s="45"/>
      <x:c r="D6" s="45" t="n">
        <x:v>1</x:v>
      </x:c>
      <x:c r="E6" s="50" t="str">
        <x:v>194 - Fake the Source of Data</x:v>
      </x:c>
      <x:c r="F6" s="51" t="n">
        <x:v>55983</x:v>
      </x:c>
      <x:c r="G6" s="45"/>
      <x:c r="H6" s="45"/>
    </x:row>
    <x:row r="7">
      <x:c r="A7" s="47" t="str">
        <x:v>Requests sin ataque / Normal</x:v>
      </x:c>
      <x:c r="B7" s="48" t="n">
        <x:v>525195</x:v>
      </x:c>
      <x:c r="C7" s="45"/>
      <x:c r="D7" s="45" t="n">
        <x:v>1</x:v>
      </x:c>
      <x:c r="E7" s="50" t="str">
        <x:v>34 - HTTP Response Splitting</x:v>
      </x:c>
      <x:c r="F7" s="51" t="n">
        <x:v>19134</x:v>
      </x:c>
      <x:c r="G7" s="45"/>
      <x:c r="H7" s="45"/>
    </x:row>
    <x:row r="8">
      <x:c r="A8" s="47" t="str">
        <x:v>Requests con ≥1 ataque</x:v>
      </x:c>
      <x:c r="B8" s="48" t="n">
        <x:f>B6-B7</x:f>
        <x:v>382620</x:v>
      </x:c>
      <x:c r="C8" s="45"/>
      <x:c r="D8" s="45" t="n">
        <x:v>1</x:v>
      </x:c>
      <x:c r="E8" s="50" t="str">
        <x:v>126 - Path Traversal</x:v>
      </x:c>
      <x:c r="F8" s="51" t="n">
        <x:v>17595</x:v>
      </x:c>
      <x:c r="G8" s="45"/>
      <x:c r="H8" s="45"/>
    </x:row>
    <x:row r="9">
      <x:c r="A9" s="47" t="str">
        <x:v>% requests con ataque</x:v>
      </x:c>
      <x:c r="B9" s="52" t="n">
        <x:f>B8/B6</x:f>
        <x:v>0.4214735381107384</x:v>
      </x:c>
      <x:c r="C9" s="45"/>
      <x:c r="D9" s="45" t="n">
        <x:v>1</x:v>
      </x:c>
      <x:c r="E9" s="50" t="str">
        <x:v>242 - Code Injection</x:v>
      </x:c>
      <x:c r="F9" s="51" t="n">
        <x:v>13793</x:v>
      </x:c>
      <x:c r="G9" s="45"/>
      <x:c r="H9" s="45"/>
    </x:row>
    <x:row r="10">
      <x:c r="A10" s="47" t="str">
        <x:v>Combinaciones exactas encontradas</x:v>
      </x:c>
      <x:c r="B10" s="48" t="n">
        <x:v>60</x:v>
      </x:c>
      <x:c r="C10" s="45"/>
      <x:c r="D10" s="45" t="n">
        <x:v>1</x:v>
      </x:c>
      <x:c r="E10" s="50" t="str">
        <x:v>272 - Protocol Manipulation</x:v>
      </x:c>
      <x:c r="F10" s="51" t="n">
        <x:v>7019</x:v>
      </x:c>
      <x:c r="G10" s="45"/>
      <x:c r="H10" s="45"/>
    </x:row>
    <x:row r="11">
      <x:c r="A11" s="47" t="str">
        <x:v>Ataques máximos simultáneos</x:v>
      </x:c>
      <x:c r="B11" s="48" t="n">
        <x:v>4</x:v>
      </x:c>
      <x:c r="C11" s="45"/>
      <x:c r="D11" s="45" t="n">
        <x:v>1</x:v>
      </x:c>
      <x:c r="E11" s="50" t="str">
        <x:v>274 - HTTP Verb Tampering</x:v>
      </x:c>
      <x:c r="F11" s="51" t="n">
        <x:v>4055</x:v>
      </x:c>
      <x:c r="G11" s="45"/>
      <x:c r="H11" s="45"/>
    </x:row>
    <x:row r="12">
      <x:c r="A12" s="47" t="str">
        <x:v>Filas con longitud irregular</x:v>
      </x:c>
      <x:c r="B12" s="48" t="n">
        <x:v>0</x:v>
      </x:c>
      <x:c r="C12" s="45"/>
      <x:c r="D12" s="45" t="n">
        <x:v>1</x:v>
      </x:c>
      <x:c r="E12" s="50" t="str">
        <x:v>88 - OS Command Injection</x:v>
      </x:c>
      <x:c r="F12" s="51" t="n">
        <x:v>3074</x:v>
      </x:c>
      <x:c r="G12" s="45"/>
      <x:c r="H12" s="45"/>
    </x:row>
    <x:row r="13">
      <x:c r="A13" s="47" t="str">
        <x:v>Filas con etiquetas inválidas</x:v>
      </x:c>
      <x:c r="B13" s="48" t="n">
        <x:v>0</x:v>
      </x:c>
      <x:c r="C13" s="45"/>
      <x:c r="D13" s="45" t="n">
        <x:v>2</x:v>
      </x:c>
      <x:c r="E13" s="50" t="str">
        <x:v>88 - OS Command Injection + 126 - Path Traversal</x:v>
      </x:c>
      <x:c r="F13" s="51" t="n">
        <x:v>2464</x:v>
      </x:c>
      <x:c r="G13" s="45"/>
      <x:c r="H13" s="45"/>
    </x:row>
    <x:row r="14">
      <x:c r="A14" s="47" t="str">
        <x:v>Fecha de generación</x:v>
      </x:c>
      <x:c r="B14" s="48" t="str">
        <x:v>2026-06-18 (Asia/Manila)</x:v>
      </x:c>
      <x:c r="C14" s="45"/>
      <x:c r="D14" s="45" t="n">
        <x:v>1</x:v>
      </x:c>
      <x:c r="E14" s="50" t="str">
        <x:v>310 - Scanning for Vulnerable Software</x:v>
      </x:c>
      <x:c r="F14" s="51" t="n">
        <x:v>2413</x:v>
      </x:c>
      <x:c r="G14" s="45"/>
      <x:c r="H14" s="45"/>
    </x:row>
    <x:row r="15">
      <x:c r="A15" s="45"/>
      <x:c r="B15" s="45"/>
      <x:c r="C15" s="45"/>
      <x:c r="D15" s="45"/>
      <x:c r="E15" s="45"/>
      <x:c r="F15" s="45"/>
      <x:c r="G15" s="45"/>
      <x:c r="H15" s="45"/>
    </x:row>
    <x:row r="16">
      <x:c r="A16" s="53" t="str">
        <x:v>Nota de interpretación</x:v>
      </x:c>
      <x:c r="B16" s="54" t="str">
        <x:v>Las combinaciones exactas se calculan usando solo las 13 columnas de ataque; “000 - Normal” queda fuera de la combinación.</x:v>
      </x:c>
      <x:c r="C16" s="45"/>
      <x:c r="D16" s="45"/>
      <x:c r="E16" s="45"/>
      <x:c r="F16" s="45"/>
      <x:c r="G16" s="45"/>
      <x:c r="H16" s="45"/>
    </x:row>
    <x:row r="17">
      <x:c r="A17" s="53" t="str">
        <x:v>Calidad del parseo</x:v>
      </x:c>
      <x:c r="B17" s="54" t="str">
        <x:v>No se detectaron filas malformadas ni etiquetas inválidas en el procesamiento.</x:v>
      </x:c>
      <x:c r="C17" s="45"/>
      <x:c r="D17" s="49" t="str">
        <x:v>N ataques</x:v>
      </x:c>
      <x:c r="E17" s="49" t="str">
        <x:v>Requests</x:v>
      </x:c>
      <x:c r="F17" s="49" t="str">
        <x:v>% total</x:v>
      </x:c>
      <x:c r="G17" s="49" t="str">
        <x:v>Combinaciones distintas</x:v>
      </x:c>
      <x:c r="H17" s="45"/>
    </x:row>
    <x:row r="18">
      <x:c r="A18" s="53" t="str">
        <x:v>Diferencia exacta vs co-ocurrencia</x:v>
      </x:c>
      <x:c r="B18" s="54" t="str">
        <x:v>“Combos exactas” exige que el conjunto de ataques sea exactamente ese. Las pestañas de co-ocurrencia cuentan requests que contienen esos ataques, aunque tengan otros adicionales.</x:v>
      </x:c>
      <x:c r="C18" s="45"/>
      <x:c r="D18" s="45" t="n">
        <x:v>0</x:v>
      </x:c>
      <x:c r="E18" s="51" t="n">
        <x:v>525195</x:v>
      </x:c>
      <x:c r="F18" s="55" t="n">
        <x:f>E18/$B$6</x:f>
        <x:v>0.5785264618892616</x:v>
      </x:c>
      <x:c r="G18" s="45" t="n">
        <x:v>1</x:v>
      </x:c>
      <x:c r="H18" s="45"/>
    </x:row>
    <x:row r="19">
      <x:c r="A19" s="45"/>
      <x:c r="B19" s="45"/>
      <x:c r="C19" s="45"/>
      <x:c r="D19" s="45" t="n">
        <x:v>1</x:v>
      </x:c>
      <x:c r="E19" s="51" t="n">
        <x:v>373382</x:v>
      </x:c>
      <x:c r="F19" s="55" t="n">
        <x:f>E19/$B$6</x:f>
        <x:v>0.4112974559794672</x:v>
      </x:c>
      <x:c r="G19" s="45" t="n">
        <x:v>11</x:v>
      </x:c>
      <x:c r="H19" s="45"/>
    </x:row>
    <x:row r="20">
      <x:c r="A20" s="45"/>
      <x:c r="B20" s="45"/>
      <x:c r="C20" s="45"/>
      <x:c r="D20" s="45" t="n">
        <x:v>2</x:v>
      </x:c>
      <x:c r="E20" s="51" t="n">
        <x:v>8132</x:v>
      </x:c>
      <x:c r="F20" s="55" t="n">
        <x:f>E20/$B$6</x:f>
        <x:v>0.008957772233329478</x:v>
      </x:c>
      <x:c r="G20" s="45" t="n">
        <x:v>30</x:v>
      </x:c>
      <x:c r="H20" s="45"/>
    </x:row>
    <x:row r="21">
      <x:c r="A21" s="45"/>
      <x:c r="B21" s="45"/>
      <x:c r="C21" s="45"/>
      <x:c r="D21" s="45" t="n">
        <x:v>3</x:v>
      </x:c>
      <x:c r="E21" s="51" t="n">
        <x:v>1088</x:v>
      </x:c>
      <x:c r="F21" s="55" t="n">
        <x:f>E21/$B$6</x:f>
        <x:v>0.001198482069584662</x:v>
      </x:c>
      <x:c r="G21" s="45" t="n">
        <x:v>15</x:v>
      </x:c>
      <x:c r="H21" s="45"/>
    </x:row>
    <x:row r="22">
      <x:c r="A22" s="45"/>
      <x:c r="B22" s="45"/>
      <x:c r="C22" s="45"/>
      <x:c r="D22" s="45" t="n">
        <x:v>4</x:v>
      </x:c>
      <x:c r="E22" s="51" t="n">
        <x:v>18</x:v>
      </x:c>
      <x:c r="F22" s="55" t="n">
        <x:f>E22/$B$6</x:f>
        <x:v>0.000019827828357099187</x:v>
      </x:c>
      <x:c r="G22" s="45" t="n">
        <x:v>3</x:v>
      </x:c>
      <x:c r="H22" s="45"/>
    </x:row>
    <x:row r="23">
      <x:c r="A23" s="45"/>
      <x:c r="B23" s="45"/>
      <x:c r="C23" s="45"/>
      <x:c r="D23" s="45"/>
      <x:c r="E23" s="45"/>
      <x:c r="F23" s="45"/>
      <x:c r="G23" s="45"/>
      <x:c r="H23" s="45"/>
    </x:row>
    <x:row r="24">
      <x:c r="A24" s="45"/>
      <x:c r="B24" s="45"/>
      <x:c r="C24" s="45"/>
      <x:c r="D24" s="45"/>
      <x:c r="E24" s="45"/>
      <x:c r="F24" s="45"/>
      <x:c r="G24" s="45"/>
      <x:c r="H24" s="45"/>
    </x:row>
    <x:row r="25">
      <x:c r="A25" s="45"/>
      <x:c r="B25" s="45"/>
      <x:c r="C25" s="45"/>
      <x:c r="D25" s="45"/>
      <x:c r="E25" s="45"/>
      <x:c r="F25" s="45"/>
      <x:c r="G25" s="45"/>
      <x:c r="H25" s="45"/>
    </x:row>
    <x:row r="26">
      <x:c r="A26" s="45"/>
      <x:c r="B26" s="45"/>
      <x:c r="C26" s="45"/>
      <x:c r="D26" s="45"/>
      <x:c r="E26" s="45"/>
      <x:c r="F26" s="45"/>
      <x:c r="G26" s="45"/>
      <x:c r="H26" s="45"/>
    </x:row>
    <x:row r="27">
      <x:c r="A27" s="45"/>
      <x:c r="B27" s="45"/>
      <x:c r="C27" s="45"/>
      <x:c r="D27" s="45"/>
      <x:c r="E27" s="45"/>
      <x:c r="F27" s="45"/>
      <x:c r="G27" s="45"/>
      <x:c r="H27" s="45"/>
    </x:row>
    <x:row r="28">
      <x:c r="A28" s="45"/>
      <x:c r="B28" s="45"/>
      <x:c r="C28" s="45"/>
      <x:c r="D28" s="45"/>
      <x:c r="E28" s="45"/>
      <x:c r="F28" s="45"/>
      <x:c r="G28" s="45"/>
      <x:c r="H28" s="45"/>
    </x:row>
    <x:row r="29">
      <x:c r="A29" s="45"/>
      <x:c r="B29" s="45"/>
      <x:c r="C29" s="45"/>
      <x:c r="D29" s="45"/>
      <x:c r="E29" s="45"/>
      <x:c r="F29" s="45"/>
      <x:c r="G29" s="45"/>
      <x:c r="H29" s="45"/>
    </x:row>
    <x:row r="30">
      <x:c r="A30" s="45"/>
      <x:c r="B30" s="45"/>
      <x:c r="C30" s="45"/>
      <x:c r="D30" s="45"/>
      <x:c r="E30" s="45"/>
      <x:c r="F30" s="45"/>
      <x:c r="G30" s="45"/>
      <x:c r="H30" s="45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c23c3cb9a4b496f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58" hidden="0" customWidth="1"/>
    <x:col min="4" max="4" width="18" hidden="0" customWidth="1"/>
    <x:col min="5" max="5" width="14" hidden="0" customWidth="1"/>
    <x:col min="6" max="6" width="12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28" customHeight="1">
      <x:c r="A1" s="44" t="str">
        <x:v>Combinaciones exactas de ataques por request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 t="str"/>
      <x:c r="J1" s="45" t="str"/>
      <x:c r="K1" s="45" t="str"/>
      <x:c r="L1" s="45" t="str"/>
      <x:c r="M1" s="45" t="str"/>
      <x:c r="N1" s="45" t="str"/>
      <x:c r="O1" s="45" t="str"/>
      <x:c r="P1" s="45" t="str"/>
      <x:c r="Q1" s="45" t="str"/>
      <x:c r="R1" s="45" t="str"/>
      <x:c r="S1" s="45" t="str"/>
      <x:c r="T1" s="45" t="str"/>
      <x:c r="U1" s="45"/>
      <x:c r="V1" s="45"/>
      <x:c r="W1" s="45"/>
      <x:c r="X1" s="45"/>
      <x:c r="Y1" s="45"/>
      <x:c r="Z1" s="45"/>
    </x:row>
    <x:row r="2" ht="24" customHeight="1">
      <x:c r="A2" s="7" t="str">
        <x:v>Cada fila representa un conjunto exacto de ataques presentes en un request. Los flags 0/1 permiten filtrar por ataque.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</x:row>
    <x:row r="3">
      <x:c r="A3" s="32" t="str">
        <x:v>Rank</x:v>
      </x:c>
      <x:c r="B3" s="32" t="str">
        <x:v>N ataques</x:v>
      </x:c>
      <x:c r="C3" s="32" t="str">
        <x:v>Combinación exacta (excluye 000 - Normal)</x:v>
      </x:c>
      <x:c r="D3" s="32" t="str">
        <x:v>CAPEC IDs</x:v>
      </x:c>
      <x:c r="E3" s="32" t="str">
        <x:v>Requests</x:v>
      </x:c>
      <x:c r="F3" s="32" t="str">
        <x:v>% total</x:v>
      </x:c>
      <x:c r="G3" s="32" t="str">
        <x:v>% requests con ataque</x:v>
      </x:c>
      <x:c r="H3" s="32" t="str">
        <x:v>272 - Protocol Manipulation</x:v>
      </x:c>
      <x:c r="I3" s="32" t="str">
        <x:v>242 - Code Injection</x:v>
      </x:c>
      <x:c r="J3" s="32" t="str">
        <x:v>88 - OS Command Injection</x:v>
      </x:c>
      <x:c r="K3" s="32" t="str">
        <x:v>126 - Path Traversal</x:v>
      </x:c>
      <x:c r="L3" s="32" t="str">
        <x:v>66 - SQL Injection</x:v>
      </x:c>
      <x:c r="M3" s="32" t="str">
        <x:v>16 - Dictionary-based Password Attack</x:v>
      </x:c>
      <x:c r="N3" s="32" t="str">
        <x:v>310 - Scanning for Vulnerable Software</x:v>
      </x:c>
      <x:c r="O3" s="32" t="str">
        <x:v>153 - Input Data Manipulation</x:v>
      </x:c>
      <x:c r="P3" s="32" t="str">
        <x:v>248 - Command Injection</x:v>
      </x:c>
      <x:c r="Q3" s="32" t="str">
        <x:v>274 - HTTP Verb Tampering</x:v>
      </x:c>
      <x:c r="R3" s="32" t="str">
        <x:v>194 - Fake the Source of Data</x:v>
      </x:c>
      <x:c r="S3" s="32" t="str">
        <x:v>34 - HTTP Response Splitting</x:v>
      </x:c>
      <x:c r="T3" s="32" t="str">
        <x:v>33 - HTTP Request Smuggling</x:v>
      </x:c>
    </x:row>
    <x:row r="4">
      <x:c r="A4" t="n">
        <x:v>1</x:v>
      </x:c>
      <x:c r="B4" t="n">
        <x:v>0</x:v>
      </x:c>
      <x:c r="C4" s="40" t="str">
        <x:v>Sin ataque / Normal</x:v>
      </x:c>
      <x:c r="D4" t="str"/>
      <x:c r="E4" s="38" t="n">
        <x:v>525195</x:v>
      </x:c>
      <x:c r="F4" s="42" t="n">
        <x:f>E4/Resumen!$B$6</x:f>
        <x:v>0.5785264618892616</x:v>
      </x:c>
      <x:c r="G4" s="42" t="str">
        <x:f>IF(B4=0,"",E4/Resumen!$B$8)</x:f>
      </x:c>
      <x:c r="H4" s="68" t="n">
        <x:v>0</x:v>
      </x:c>
      <x:c r="I4" s="68" t="n">
        <x:v>0</x:v>
      </x:c>
      <x:c r="J4" s="68" t="n">
        <x:v>0</x:v>
      </x:c>
      <x:c r="K4" s="68" t="n">
        <x:v>0</x:v>
      </x:c>
      <x:c r="L4" s="68" t="n">
        <x:v>0</x:v>
      </x:c>
      <x:c r="M4" s="68" t="n">
        <x:v>0</x:v>
      </x:c>
      <x:c r="N4" s="68" t="n">
        <x:v>0</x:v>
      </x:c>
      <x:c r="O4" s="68" t="n">
        <x:v>0</x:v>
      </x:c>
      <x:c r="P4" s="68" t="n">
        <x:v>0</x:v>
      </x:c>
      <x:c r="Q4" s="68" t="n">
        <x:v>0</x:v>
      </x:c>
      <x:c r="R4" s="68" t="n">
        <x:v>0</x:v>
      </x:c>
      <x:c r="S4" s="68" t="n">
        <x:v>0</x:v>
      </x:c>
      <x:c r="T4" s="68" t="n">
        <x:v>0</x:v>
      </x:c>
    </x:row>
    <x:row r="5">
      <x:c r="A5" t="n">
        <x:v>2</x:v>
      </x:c>
      <x:c r="B5" t="n">
        <x:v>1</x:v>
      </x:c>
      <x:c r="C5" s="40" t="str">
        <x:v>66 - SQL Injection</x:v>
      </x:c>
      <x:c r="D5" t="str">
        <x:v>66</x:v>
      </x:c>
      <x:c r="E5" s="38" t="n">
        <x:v>248093</x:v>
      </x:c>
      <x:c r="F5" s="42" t="n">
        <x:f>E5/Resumen!$B$6</x:f>
        <x:v>0.27328585669987826</x:v>
      </x:c>
      <x:c r="G5" s="42" t="n">
        <x:f>IF(B5=0,"",E5/Resumen!$B$8)</x:f>
        <x:v>0.6484057289216455</x:v>
      </x:c>
      <x:c r="H5" s="68" t="n">
        <x:v>0</x:v>
      </x:c>
      <x:c r="I5" s="68" t="n">
        <x:v>0</x:v>
      </x:c>
      <x:c r="J5" s="68" t="n">
        <x:v>0</x:v>
      </x:c>
      <x:c r="K5" s="68" t="n">
        <x:v>0</x:v>
      </x:c>
      <x:c r="L5" s="68" t="n">
        <x:v>1</x:v>
      </x:c>
      <x:c r="M5" s="68" t="n">
        <x:v>0</x:v>
      </x:c>
      <x:c r="N5" s="68" t="n">
        <x:v>0</x:v>
      </x:c>
      <x:c r="O5" s="68" t="n">
        <x:v>0</x:v>
      </x:c>
      <x:c r="P5" s="68" t="n">
        <x:v>0</x:v>
      </x:c>
      <x:c r="Q5" s="68" t="n">
        <x:v>0</x:v>
      </x:c>
      <x:c r="R5" s="68" t="n">
        <x:v>0</x:v>
      </x:c>
      <x:c r="S5" s="68" t="n">
        <x:v>0</x:v>
      </x:c>
      <x:c r="T5" s="68" t="n">
        <x:v>0</x:v>
      </x:c>
    </x:row>
    <x:row r="6">
      <x:c r="A6" t="n">
        <x:v>3</x:v>
      </x:c>
      <x:c r="B6" t="n">
        <x:v>1</x:v>
      </x:c>
      <x:c r="C6" s="40" t="str">
        <x:v>194 - Fake the Source of Data</x:v>
      </x:c>
      <x:c r="D6" t="str">
        <x:v>194</x:v>
      </x:c>
      <x:c r="E6" s="38" t="n">
        <x:v>55983</x:v>
      </x:c>
      <x:c r="F6" s="42" t="n">
        <x:f>E6/Resumen!$B$6</x:f>
        <x:v>0.061667850828637995</x:v>
      </x:c>
      <x:c r="G6" s="42" t="n">
        <x:f>IF(B6=0,"",E6/Resumen!$B$8)</x:f>
        <x:v>0.14631488160577075</x:v>
      </x:c>
      <x:c r="H6" s="68" t="n">
        <x:v>0</x:v>
      </x:c>
      <x:c r="I6" s="68" t="n">
        <x:v>0</x:v>
      </x:c>
      <x:c r="J6" s="68" t="n">
        <x:v>0</x:v>
      </x:c>
      <x:c r="K6" s="68" t="n">
        <x:v>0</x:v>
      </x:c>
      <x:c r="L6" s="68" t="n">
        <x:v>0</x:v>
      </x:c>
      <x:c r="M6" s="68" t="n">
        <x:v>0</x:v>
      </x:c>
      <x:c r="N6" s="68" t="n">
        <x:v>0</x:v>
      </x:c>
      <x:c r="O6" s="68" t="n">
        <x:v>0</x:v>
      </x:c>
      <x:c r="P6" s="68" t="n">
        <x:v>0</x:v>
      </x:c>
      <x:c r="Q6" s="68" t="n">
        <x:v>0</x:v>
      </x:c>
      <x:c r="R6" s="68" t="n">
        <x:v>1</x:v>
      </x:c>
      <x:c r="S6" s="68" t="n">
        <x:v>0</x:v>
      </x:c>
      <x:c r="T6" s="68" t="n">
        <x:v>0</x:v>
      </x:c>
    </x:row>
    <x:row r="7">
      <x:c r="A7" t="n">
        <x:v>4</x:v>
      </x:c>
      <x:c r="B7" t="n">
        <x:v>1</x:v>
      </x:c>
      <x:c r="C7" s="40" t="str">
        <x:v>34 - HTTP Response Splitting</x:v>
      </x:c>
      <x:c r="D7" t="str">
        <x:v>34</x:v>
      </x:c>
      <x:c r="E7" s="38" t="n">
        <x:v>19134</x:v>
      </x:c>
      <x:c r="F7" s="42" t="n">
        <x:f>E7/Resumen!$B$6</x:f>
        <x:v>0.021076981543596437</x:v>
      </x:c>
      <x:c r="G7" s="42" t="n">
        <x:f>IF(B7=0,"",E7/Resumen!$B$8)</x:f>
        <x:v>0.05000784067743453</x:v>
      </x:c>
      <x:c r="H7" s="68" t="n">
        <x:v>0</x:v>
      </x:c>
      <x:c r="I7" s="68" t="n">
        <x:v>0</x:v>
      </x:c>
      <x:c r="J7" s="68" t="n">
        <x:v>0</x:v>
      </x:c>
      <x:c r="K7" s="68" t="n">
        <x:v>0</x:v>
      </x:c>
      <x:c r="L7" s="68" t="n">
        <x:v>0</x:v>
      </x:c>
      <x:c r="M7" s="68" t="n">
        <x:v>0</x:v>
      </x:c>
      <x:c r="N7" s="68" t="n">
        <x:v>0</x:v>
      </x:c>
      <x:c r="O7" s="68" t="n">
        <x:v>0</x:v>
      </x:c>
      <x:c r="P7" s="68" t="n">
        <x:v>0</x:v>
      </x:c>
      <x:c r="Q7" s="68" t="n">
        <x:v>0</x:v>
      </x:c>
      <x:c r="R7" s="68" t="n">
        <x:v>0</x:v>
      </x:c>
      <x:c r="S7" s="68" t="n">
        <x:v>1</x:v>
      </x:c>
      <x:c r="T7" s="68" t="n">
        <x:v>0</x:v>
      </x:c>
    </x:row>
    <x:row r="8">
      <x:c r="A8" t="n">
        <x:v>5</x:v>
      </x:c>
      <x:c r="B8" t="n">
        <x:v>1</x:v>
      </x:c>
      <x:c r="C8" s="40" t="str">
        <x:v>126 - Path Traversal</x:v>
      </x:c>
      <x:c r="D8" t="str">
        <x:v>126</x:v>
      </x:c>
      <x:c r="E8" s="38" t="n">
        <x:v>17595</x:v>
      </x:c>
      <x:c r="F8" s="42" t="n">
        <x:f>E8/Resumen!$B$6</x:f>
        <x:v>0.019381702219064458</x:v>
      </x:c>
      <x:c r="G8" s="42" t="n">
        <x:f>IF(B8=0,"",E8/Resumen!$B$8)</x:f>
        <x:v>0.04598557315352046</x:v>
      </x:c>
      <x:c r="H8" s="68" t="n">
        <x:v>0</x:v>
      </x:c>
      <x:c r="I8" s="68" t="n">
        <x:v>0</x:v>
      </x:c>
      <x:c r="J8" s="68" t="n">
        <x:v>0</x:v>
      </x:c>
      <x:c r="K8" s="68" t="n">
        <x:v>1</x:v>
      </x:c>
      <x:c r="L8" s="68" t="n">
        <x:v>0</x:v>
      </x:c>
      <x:c r="M8" s="68" t="n">
        <x:v>0</x:v>
      </x:c>
      <x:c r="N8" s="68" t="n">
        <x:v>0</x:v>
      </x:c>
      <x:c r="O8" s="68" t="n">
        <x:v>0</x:v>
      </x:c>
      <x:c r="P8" s="68" t="n">
        <x:v>0</x:v>
      </x:c>
      <x:c r="Q8" s="68" t="n">
        <x:v>0</x:v>
      </x:c>
      <x:c r="R8" s="68" t="n">
        <x:v>0</x:v>
      </x:c>
      <x:c r="S8" s="68" t="n">
        <x:v>0</x:v>
      </x:c>
      <x:c r="T8" s="68" t="n">
        <x:v>0</x:v>
      </x:c>
    </x:row>
    <x:row r="9">
      <x:c r="A9" t="n">
        <x:v>6</x:v>
      </x:c>
      <x:c r="B9" t="n">
        <x:v>1</x:v>
      </x:c>
      <x:c r="C9" s="40" t="str">
        <x:v>242 - Code Injection</x:v>
      </x:c>
      <x:c r="D9" t="str">
        <x:v>242</x:v>
      </x:c>
      <x:c r="E9" s="38" t="n">
        <x:v>13793</x:v>
      </x:c>
      <x:c r="F9" s="42" t="n">
        <x:f>E9/Resumen!$B$6</x:f>
        <x:v>0.015193624251637172</x:v>
      </x:c>
      <x:c r="G9" s="42" t="n">
        <x:f>IF(B9=0,"",E9/Resumen!$B$8)</x:f>
        <x:v>0.03604882128482568</x:v>
      </x:c>
      <x:c r="H9" s="68" t="n">
        <x:v>0</x:v>
      </x:c>
      <x:c r="I9" s="68" t="n">
        <x:v>1</x:v>
      </x:c>
      <x:c r="J9" s="68" t="n">
        <x:v>0</x:v>
      </x:c>
      <x:c r="K9" s="68" t="n">
        <x:v>0</x:v>
      </x:c>
      <x:c r="L9" s="68" t="n">
        <x:v>0</x:v>
      </x:c>
      <x:c r="M9" s="68" t="n">
        <x:v>0</x:v>
      </x:c>
      <x:c r="N9" s="68" t="n">
        <x:v>0</x:v>
      </x:c>
      <x:c r="O9" s="68" t="n">
        <x:v>0</x:v>
      </x:c>
      <x:c r="P9" s="68" t="n">
        <x:v>0</x:v>
      </x:c>
      <x:c r="Q9" s="68" t="n">
        <x:v>0</x:v>
      </x:c>
      <x:c r="R9" s="68" t="n">
        <x:v>0</x:v>
      </x:c>
      <x:c r="S9" s="68" t="n">
        <x:v>0</x:v>
      </x:c>
      <x:c r="T9" s="68" t="n">
        <x:v>0</x:v>
      </x:c>
    </x:row>
    <x:row r="10">
      <x:c r="A10" t="n">
        <x:v>7</x:v>
      </x:c>
      <x:c r="B10" t="n">
        <x:v>1</x:v>
      </x:c>
      <x:c r="C10" s="40" t="str">
        <x:v>272 - Protocol Manipulation</x:v>
      </x:c>
      <x:c r="D10" t="str">
        <x:v>272</x:v>
      </x:c>
      <x:c r="E10" s="38" t="n">
        <x:v>7019</x:v>
      </x:c>
      <x:c r="F10" s="42" t="n">
        <x:f>E10/Resumen!$B$6</x:f>
        <x:v>0.007731751513248845</x:v>
      </x:c>
      <x:c r="G10" s="42" t="n">
        <x:f>IF(B10=0,"",E10/Resumen!$B$8)</x:f>
        <x:v>0.01834457163765616</x:v>
      </x:c>
      <x:c r="H10" s="68" t="n">
        <x:v>1</x:v>
      </x:c>
      <x:c r="I10" s="68" t="n">
        <x:v>0</x:v>
      </x:c>
      <x:c r="J10" s="68" t="n">
        <x:v>0</x:v>
      </x:c>
      <x:c r="K10" s="68" t="n">
        <x:v>0</x:v>
      </x:c>
      <x:c r="L10" s="68" t="n">
        <x:v>0</x:v>
      </x:c>
      <x:c r="M10" s="68" t="n">
        <x:v>0</x:v>
      </x:c>
      <x:c r="N10" s="68" t="n">
        <x:v>0</x:v>
      </x:c>
      <x:c r="O10" s="68" t="n">
        <x:v>0</x:v>
      </x:c>
      <x:c r="P10" s="68" t="n">
        <x:v>0</x:v>
      </x:c>
      <x:c r="Q10" s="68" t="n">
        <x:v>0</x:v>
      </x:c>
      <x:c r="R10" s="68" t="n">
        <x:v>0</x:v>
      </x:c>
      <x:c r="S10" s="68" t="n">
        <x:v>0</x:v>
      </x:c>
      <x:c r="T10" s="68" t="n">
        <x:v>0</x:v>
      </x:c>
    </x:row>
    <x:row r="11">
      <x:c r="A11" t="n">
        <x:v>8</x:v>
      </x:c>
      <x:c r="B11" t="n">
        <x:v>1</x:v>
      </x:c>
      <x:c r="C11" s="40" t="str">
        <x:v>274 - HTTP Verb Tampering</x:v>
      </x:c>
      <x:c r="D11" t="str">
        <x:v>274</x:v>
      </x:c>
      <x:c r="E11" s="38" t="n">
        <x:v>4055</x:v>
      </x:c>
      <x:c r="F11" s="42" t="n">
        <x:f>E11/Resumen!$B$6</x:f>
        <x:v>0.004466769110446512</x:v>
      </x:c>
      <x:c r="G11" s="42" t="n">
        <x:f>IF(B11=0,"",E11/Resumen!$B$8)</x:f>
        <x:v>0.01059798233234018</x:v>
      </x:c>
      <x:c r="H11" s="68" t="n">
        <x:v>0</x:v>
      </x:c>
      <x:c r="I11" s="68" t="n">
        <x:v>0</x:v>
      </x:c>
      <x:c r="J11" s="68" t="n">
        <x:v>0</x:v>
      </x:c>
      <x:c r="K11" s="68" t="n">
        <x:v>0</x:v>
      </x:c>
      <x:c r="L11" s="68" t="n">
        <x:v>0</x:v>
      </x:c>
      <x:c r="M11" s="68" t="n">
        <x:v>0</x:v>
      </x:c>
      <x:c r="N11" s="68" t="n">
        <x:v>0</x:v>
      </x:c>
      <x:c r="O11" s="68" t="n">
        <x:v>0</x:v>
      </x:c>
      <x:c r="P11" s="68" t="n">
        <x:v>0</x:v>
      </x:c>
      <x:c r="Q11" s="68" t="n">
        <x:v>1</x:v>
      </x:c>
      <x:c r="R11" s="68" t="n">
        <x:v>0</x:v>
      </x:c>
      <x:c r="S11" s="68" t="n">
        <x:v>0</x:v>
      </x:c>
      <x:c r="T11" s="68" t="n">
        <x:v>0</x:v>
      </x:c>
    </x:row>
    <x:row r="12">
      <x:c r="A12" t="n">
        <x:v>9</x:v>
      </x:c>
      <x:c r="B12" t="n">
        <x:v>1</x:v>
      </x:c>
      <x:c r="C12" s="40" t="str">
        <x:v>88 - OS Command Injection</x:v>
      </x:c>
      <x:c r="D12" t="str">
        <x:v>88</x:v>
      </x:c>
      <x:c r="E12" s="38" t="n">
        <x:v>3074</x:v>
      </x:c>
      <x:c r="F12" s="42" t="n">
        <x:f>E12/Resumen!$B$6</x:f>
        <x:v>0.003386152464984606</x:v>
      </x:c>
      <x:c r="G12" s="42" t="n">
        <x:f>IF(B12=0,"",E12/Resumen!$B$8)</x:f>
        <x:v>0.008034080811248758</x:v>
      </x:c>
      <x:c r="H12" s="68" t="n">
        <x:v>0</x:v>
      </x:c>
      <x:c r="I12" s="68" t="n">
        <x:v>0</x:v>
      </x:c>
      <x:c r="J12" s="68" t="n">
        <x:v>1</x:v>
      </x:c>
      <x:c r="K12" s="68" t="n">
        <x:v>0</x:v>
      </x:c>
      <x:c r="L12" s="68" t="n">
        <x:v>0</x:v>
      </x:c>
      <x:c r="M12" s="68" t="n">
        <x:v>0</x:v>
      </x:c>
      <x:c r="N12" s="68" t="n">
        <x:v>0</x:v>
      </x:c>
      <x:c r="O12" s="68" t="n">
        <x:v>0</x:v>
      </x:c>
      <x:c r="P12" s="68" t="n">
        <x:v>0</x:v>
      </x:c>
      <x:c r="Q12" s="68" t="n">
        <x:v>0</x:v>
      </x:c>
      <x:c r="R12" s="68" t="n">
        <x:v>0</x:v>
      </x:c>
      <x:c r="S12" s="68" t="n">
        <x:v>0</x:v>
      </x:c>
      <x:c r="T12" s="68" t="n">
        <x:v>0</x:v>
      </x:c>
    </x:row>
    <x:row r="13">
      <x:c r="A13" t="n">
        <x:v>10</x:v>
      </x:c>
      <x:c r="B13" t="n">
        <x:v>2</x:v>
      </x:c>
      <x:c r="C13" s="40" t="str">
        <x:v>88 - OS Command Injection + 126 - Path Traversal</x:v>
      </x:c>
      <x:c r="D13" t="str">
        <x:v>88 + 126</x:v>
      </x:c>
      <x:c r="E13" s="38" t="n">
        <x:v>2464</x:v>
      </x:c>
      <x:c r="F13" s="42" t="n">
        <x:f>E13/Resumen!$B$6</x:f>
        <x:v>0.002714209392882911</x:v>
      </x:c>
      <x:c r="G13" s="42" t="n">
        <x:f>IF(B13=0,"",E13/Resumen!$B$8)</x:f>
        <x:v>0.006439809732894255</x:v>
      </x:c>
      <x:c r="H13" s="68" t="n">
        <x:v>0</x:v>
      </x:c>
      <x:c r="I13" s="68" t="n">
        <x:v>0</x:v>
      </x:c>
      <x:c r="J13" s="68" t="n">
        <x:v>1</x:v>
      </x:c>
      <x:c r="K13" s="68" t="n">
        <x:v>1</x:v>
      </x:c>
      <x:c r="L13" s="68" t="n">
        <x:v>0</x:v>
      </x:c>
      <x:c r="M13" s="68" t="n">
        <x:v>0</x:v>
      </x:c>
      <x:c r="N13" s="68" t="n">
        <x:v>0</x:v>
      </x:c>
      <x:c r="O13" s="68" t="n">
        <x:v>0</x:v>
      </x:c>
      <x:c r="P13" s="68" t="n">
        <x:v>0</x:v>
      </x:c>
      <x:c r="Q13" s="68" t="n">
        <x:v>0</x:v>
      </x:c>
      <x:c r="R13" s="68" t="n">
        <x:v>0</x:v>
      </x:c>
      <x:c r="S13" s="68" t="n">
        <x:v>0</x:v>
      </x:c>
      <x:c r="T13" s="68" t="n">
        <x:v>0</x:v>
      </x:c>
    </x:row>
    <x:row r="14">
      <x:c r="A14" t="n">
        <x:v>11</x:v>
      </x:c>
      <x:c r="B14" t="n">
        <x:v>1</x:v>
      </x:c>
      <x:c r="C14" s="40" t="str">
        <x:v>310 - Scanning for Vulnerable Software</x:v>
      </x:c>
      <x:c r="D14" t="str">
        <x:v>310</x:v>
      </x:c>
      <x:c r="E14" s="38" t="n">
        <x:v>2413</x:v>
      </x:c>
      <x:c r="F14" s="42" t="n">
        <x:f>E14/Resumen!$B$6</x:f>
        <x:v>0.00265803054587113</x:v>
      </x:c>
      <x:c r="G14" s="42" t="n">
        <x:f>IF(B14=0,"",E14/Resumen!$B$8)</x:f>
        <x:v>0.00630651821650724</x:v>
      </x:c>
      <x:c r="H14" s="68" t="n">
        <x:v>0</x:v>
      </x:c>
      <x:c r="I14" s="68" t="n">
        <x:v>0</x:v>
      </x:c>
      <x:c r="J14" s="68" t="n">
        <x:v>0</x:v>
      </x:c>
      <x:c r="K14" s="68" t="n">
        <x:v>0</x:v>
      </x:c>
      <x:c r="L14" s="68" t="n">
        <x:v>0</x:v>
      </x:c>
      <x:c r="M14" s="68" t="n">
        <x:v>0</x:v>
      </x:c>
      <x:c r="N14" s="68" t="n">
        <x:v>1</x:v>
      </x:c>
      <x:c r="O14" s="68" t="n">
        <x:v>0</x:v>
      </x:c>
      <x:c r="P14" s="68" t="n">
        <x:v>0</x:v>
      </x:c>
      <x:c r="Q14" s="68" t="n">
        <x:v>0</x:v>
      </x:c>
      <x:c r="R14" s="68" t="n">
        <x:v>0</x:v>
      </x:c>
      <x:c r="S14" s="68" t="n">
        <x:v>0</x:v>
      </x:c>
      <x:c r="T14" s="68" t="n">
        <x:v>0</x:v>
      </x:c>
    </x:row>
    <x:row r="15">
      <x:c r="A15" t="n">
        <x:v>12</x:v>
      </x:c>
      <x:c r="B15" t="n">
        <x:v>1</x:v>
      </x:c>
      <x:c r="C15" s="40" t="str">
        <x:v>153 - Input Data Manipulation</x:v>
      </x:c>
      <x:c r="D15" t="str">
        <x:v>153</x:v>
      </x:c>
      <x:c r="E15" s="38" t="n">
        <x:v>1387</x:v>
      </x:c>
      <x:c r="F15" s="42" t="n">
        <x:f>E15/Resumen!$B$6</x:f>
        <x:v>0.0015278443295164764</x:v>
      </x:c>
      <x:c r="G15" s="42" t="n">
        <x:f>IF(B15=0,"",E15/Resumen!$B$8)</x:f>
        <x:v>0.003625006533897862</x:v>
      </x:c>
      <x:c r="H15" s="68" t="n">
        <x:v>0</x:v>
      </x:c>
      <x:c r="I15" s="68" t="n">
        <x:v>0</x:v>
      </x:c>
      <x:c r="J15" s="68" t="n">
        <x:v>0</x:v>
      </x:c>
      <x:c r="K15" s="68" t="n">
        <x:v>0</x:v>
      </x:c>
      <x:c r="L15" s="68" t="n">
        <x:v>0</x:v>
      </x:c>
      <x:c r="M15" s="68" t="n">
        <x:v>0</x:v>
      </x:c>
      <x:c r="N15" s="68" t="n">
        <x:v>0</x:v>
      </x:c>
      <x:c r="O15" s="68" t="n">
        <x:v>1</x:v>
      </x:c>
      <x:c r="P15" s="68" t="n">
        <x:v>0</x:v>
      </x:c>
      <x:c r="Q15" s="68" t="n">
        <x:v>0</x:v>
      </x:c>
      <x:c r="R15" s="68" t="n">
        <x:v>0</x:v>
      </x:c>
      <x:c r="S15" s="68" t="n">
        <x:v>0</x:v>
      </x:c>
      <x:c r="T15" s="68" t="n">
        <x:v>0</x:v>
      </x:c>
    </x:row>
    <x:row r="16">
      <x:c r="A16" t="n">
        <x:v>13</x:v>
      </x:c>
      <x:c r="B16" t="n">
        <x:v>2</x:v>
      </x:c>
      <x:c r="C16" s="40" t="str">
        <x:v>272 - Protocol Manipulation + 274 - HTTP Verb Tampering</x:v>
      </x:c>
      <x:c r="D16" t="str">
        <x:v>272 + 274</x:v>
      </x:c>
      <x:c r="E16" s="38" t="n">
        <x:v>1370</x:v>
      </x:c>
      <x:c r="F16" s="42" t="n">
        <x:f>E16/Resumen!$B$6</x:f>
        <x:v>0.001509118047179216</x:v>
      </x:c>
      <x:c r="G16" s="42" t="n">
        <x:f>IF(B16=0,"",E16/Resumen!$B$8)</x:f>
        <x:v>0.0035805760284355237</x:v>
      </x:c>
      <x:c r="H16" s="68" t="n">
        <x:v>1</x:v>
      </x:c>
      <x:c r="I16" s="68" t="n">
        <x:v>0</x:v>
      </x:c>
      <x:c r="J16" s="68" t="n">
        <x:v>0</x:v>
      </x:c>
      <x:c r="K16" s="68" t="n">
        <x:v>0</x:v>
      </x:c>
      <x:c r="L16" s="68" t="n">
        <x:v>0</x:v>
      </x:c>
      <x:c r="M16" s="68" t="n">
        <x:v>0</x:v>
      </x:c>
      <x:c r="N16" s="68" t="n">
        <x:v>0</x:v>
      </x:c>
      <x:c r="O16" s="68" t="n">
        <x:v>0</x:v>
      </x:c>
      <x:c r="P16" s="68" t="n">
        <x:v>0</x:v>
      </x:c>
      <x:c r="Q16" s="68" t="n">
        <x:v>1</x:v>
      </x:c>
      <x:c r="R16" s="68" t="n">
        <x:v>0</x:v>
      </x:c>
      <x:c r="S16" s="68" t="n">
        <x:v>0</x:v>
      </x:c>
      <x:c r="T16" s="68" t="n">
        <x:v>0</x:v>
      </x:c>
    </x:row>
    <x:row r="17">
      <x:c r="A17" t="n">
        <x:v>14</x:v>
      </x:c>
      <x:c r="B17" t="n">
        <x:v>1</x:v>
      </x:c>
      <x:c r="C17" s="40" t="str">
        <x:v>16 - Dictionary-based Password Attack</x:v>
      </x:c>
      <x:c r="D17" t="str">
        <x:v>16</x:v>
      </x:c>
      <x:c r="E17" s="38" t="n">
        <x:v>836</x:v>
      </x:c>
      <x:c r="F17" s="42" t="n">
        <x:f>E17/Resumen!$B$6</x:f>
        <x:v>0.0009208924725852734</x:v>
      </x:c>
      <x:c r="G17" s="42" t="n">
        <x:f>IF(B17=0,"",E17/Resumen!$B$8)</x:f>
        <x:v>0.0021849354450891225</x:v>
      </x:c>
      <x:c r="H17" s="68" t="n">
        <x:v>0</x:v>
      </x:c>
      <x:c r="I17" s="68" t="n">
        <x:v>0</x:v>
      </x:c>
      <x:c r="J17" s="68" t="n">
        <x:v>0</x:v>
      </x:c>
      <x:c r="K17" s="68" t="n">
        <x:v>0</x:v>
      </x:c>
      <x:c r="L17" s="68" t="n">
        <x:v>0</x:v>
      </x:c>
      <x:c r="M17" s="68" t="n">
        <x:v>1</x:v>
      </x:c>
      <x:c r="N17" s="68" t="n">
        <x:v>0</x:v>
      </x:c>
      <x:c r="O17" s="68" t="n">
        <x:v>0</x:v>
      </x:c>
      <x:c r="P17" s="68" t="n">
        <x:v>0</x:v>
      </x:c>
      <x:c r="Q17" s="68" t="n">
        <x:v>0</x:v>
      </x:c>
      <x:c r="R17" s="68" t="n">
        <x:v>0</x:v>
      </x:c>
      <x:c r="S17" s="68" t="n">
        <x:v>0</x:v>
      </x:c>
      <x:c r="T17" s="68" t="n">
        <x:v>0</x:v>
      </x:c>
    </x:row>
    <x:row r="18">
      <x:c r="A18" t="n">
        <x:v>15</x:v>
      </x:c>
      <x:c r="B18" t="n">
        <x:v>2</x:v>
      </x:c>
      <x:c r="C18" s="40" t="str">
        <x:v>242 - Code Injection + 88 - OS Command Injection</x:v>
      </x:c>
      <x:c r="D18" t="str">
        <x:v>242 + 88</x:v>
      </x:c>
      <x:c r="E18" s="38" t="n">
        <x:v>760</x:v>
      </x:c>
      <x:c r="F18" s="42" t="n">
        <x:f>E18/Resumen!$B$6</x:f>
        <x:v>0.0008371749750775213</x:v>
      </x:c>
      <x:c r="G18" s="42" t="n">
        <x:f>IF(B18=0,"",E18/Resumen!$B$8)</x:f>
        <x:v>0.0019863049500810203</x:v>
      </x:c>
      <x:c r="H18" s="68" t="n">
        <x:v>0</x:v>
      </x:c>
      <x:c r="I18" s="68" t="n">
        <x:v>1</x:v>
      </x:c>
      <x:c r="J18" s="68" t="n">
        <x:v>1</x:v>
      </x:c>
      <x:c r="K18" s="68" t="n">
        <x:v>0</x:v>
      </x:c>
      <x:c r="L18" s="68" t="n">
        <x:v>0</x:v>
      </x:c>
      <x:c r="M18" s="68" t="n">
        <x:v>0</x:v>
      </x:c>
      <x:c r="N18" s="68" t="n">
        <x:v>0</x:v>
      </x:c>
      <x:c r="O18" s="68" t="n">
        <x:v>0</x:v>
      </x:c>
      <x:c r="P18" s="68" t="n">
        <x:v>0</x:v>
      </x:c>
      <x:c r="Q18" s="68" t="n">
        <x:v>0</x:v>
      </x:c>
      <x:c r="R18" s="68" t="n">
        <x:v>0</x:v>
      </x:c>
      <x:c r="S18" s="68" t="n">
        <x:v>0</x:v>
      </x:c>
      <x:c r="T18" s="68" t="n">
        <x:v>0</x:v>
      </x:c>
    </x:row>
    <x:row r="19">
      <x:c r="A19" t="n">
        <x:v>16</x:v>
      </x:c>
      <x:c r="B19" t="n">
        <x:v>2</x:v>
      </x:c>
      <x:c r="C19" s="40" t="str">
        <x:v>242 - Code Injection + 66 - SQL Injection</x:v>
      </x:c>
      <x:c r="D19" t="str">
        <x:v>242 + 66</x:v>
      </x:c>
      <x:c r="E19" s="38" t="n">
        <x:v>673</x:v>
      </x:c>
      <x:c r="F19" s="42" t="n">
        <x:f>E19/Resumen!$B$6</x:f>
        <x:v>0.0007413404713515418</x:v>
      </x:c>
      <x:c r="G19" s="42" t="n">
        <x:f>IF(B19=0,"",E19/Resumen!$B$8)</x:f>
        <x:v>0.0017589253044796404</x:v>
      </x:c>
      <x:c r="H19" s="68" t="n">
        <x:v>0</x:v>
      </x:c>
      <x:c r="I19" s="68" t="n">
        <x:v>1</x:v>
      </x:c>
      <x:c r="J19" s="68" t="n">
        <x:v>0</x:v>
      </x:c>
      <x:c r="K19" s="68" t="n">
        <x:v>0</x:v>
      </x:c>
      <x:c r="L19" s="68" t="n">
        <x:v>1</x:v>
      </x:c>
      <x:c r="M19" s="68" t="n">
        <x:v>0</x:v>
      </x:c>
      <x:c r="N19" s="68" t="n">
        <x:v>0</x:v>
      </x:c>
      <x:c r="O19" s="68" t="n">
        <x:v>0</x:v>
      </x:c>
      <x:c r="P19" s="68" t="n">
        <x:v>0</x:v>
      </x:c>
      <x:c r="Q19" s="68" t="n">
        <x:v>0</x:v>
      </x:c>
      <x:c r="R19" s="68" t="n">
        <x:v>0</x:v>
      </x:c>
      <x:c r="S19" s="68" t="n">
        <x:v>0</x:v>
      </x:c>
      <x:c r="T19" s="68" t="n">
        <x:v>0</x:v>
      </x:c>
    </x:row>
    <x:row r="20">
      <x:c r="A20" t="n">
        <x:v>17</x:v>
      </x:c>
      <x:c r="B20" t="n">
        <x:v>2</x:v>
      </x:c>
      <x:c r="C20" s="40" t="str">
        <x:v>66 - SQL Injection + 153 - Input Data Manipulation</x:v>
      </x:c>
      <x:c r="D20" t="str">
        <x:v>66 + 153</x:v>
      </x:c>
      <x:c r="E20" s="38" t="n">
        <x:v>612</x:v>
      </x:c>
      <x:c r="F20" s="42" t="n">
        <x:f>E20/Resumen!$B$6</x:f>
        <x:v>0.0006741461641413724</x:v>
      </x:c>
      <x:c r="G20" s="42" t="n">
        <x:f>IF(B20=0,"",E20/Resumen!$B$8)</x:f>
        <x:v>0.00159949819664419</x:v>
      </x:c>
      <x:c r="H20" s="68" t="n">
        <x:v>0</x:v>
      </x:c>
      <x:c r="I20" s="68" t="n">
        <x:v>0</x:v>
      </x:c>
      <x:c r="J20" s="68" t="n">
        <x:v>0</x:v>
      </x:c>
      <x:c r="K20" s="68" t="n">
        <x:v>0</x:v>
      </x:c>
      <x:c r="L20" s="68" t="n">
        <x:v>1</x:v>
      </x:c>
      <x:c r="M20" s="68" t="n">
        <x:v>0</x:v>
      </x:c>
      <x:c r="N20" s="68" t="n">
        <x:v>0</x:v>
      </x:c>
      <x:c r="O20" s="68" t="n">
        <x:v>1</x:v>
      </x:c>
      <x:c r="P20" s="68" t="n">
        <x:v>0</x:v>
      </x:c>
      <x:c r="Q20" s="68" t="n">
        <x:v>0</x:v>
      </x:c>
      <x:c r="R20" s="68" t="n">
        <x:v>0</x:v>
      </x:c>
      <x:c r="S20" s="68" t="n">
        <x:v>0</x:v>
      </x:c>
      <x:c r="T20" s="68" t="n">
        <x:v>0</x:v>
      </x:c>
    </x:row>
    <x:row r="21">
      <x:c r="A21" t="n">
        <x:v>18</x:v>
      </x:c>
      <x:c r="B21" t="n">
        <x:v>2</x:v>
      </x:c>
      <x:c r="C21" s="40" t="str">
        <x:v>34 - HTTP Response Splitting + 33 - HTTP Request Smuggling</x:v>
      </x:c>
      <x:c r="D21" t="str">
        <x:v>34 + 33</x:v>
      </x:c>
      <x:c r="E21" s="38" t="n">
        <x:v>534</x:v>
      </x:c>
      <x:c r="F21" s="42" t="n">
        <x:f>E21/Resumen!$B$6</x:f>
        <x:v>0.0005882255745939426</x:v>
      </x:c>
      <x:c r="G21" s="42" t="n">
        <x:f>IF(B21=0,"",E21/Resumen!$B$8)</x:f>
        <x:v>0.0013956405833464012</x:v>
      </x:c>
      <x:c r="H21" s="68" t="n">
        <x:v>0</x:v>
      </x:c>
      <x:c r="I21" s="68" t="n">
        <x:v>0</x:v>
      </x:c>
      <x:c r="J21" s="68" t="n">
        <x:v>0</x:v>
      </x:c>
      <x:c r="K21" s="68" t="n">
        <x:v>0</x:v>
      </x:c>
      <x:c r="L21" s="68" t="n">
        <x:v>0</x:v>
      </x:c>
      <x:c r="M21" s="68" t="n">
        <x:v>0</x:v>
      </x:c>
      <x:c r="N21" s="68" t="n">
        <x:v>0</x:v>
      </x:c>
      <x:c r="O21" s="68" t="n">
        <x:v>0</x:v>
      </x:c>
      <x:c r="P21" s="68" t="n">
        <x:v>0</x:v>
      </x:c>
      <x:c r="Q21" s="68" t="n">
        <x:v>0</x:v>
      </x:c>
      <x:c r="R21" s="68" t="n">
        <x:v>0</x:v>
      </x:c>
      <x:c r="S21" s="68" t="n">
        <x:v>1</x:v>
      </x:c>
      <x:c r="T21" s="68" t="n">
        <x:v>1</x:v>
      </x:c>
    </x:row>
    <x:row r="22">
      <x:c r="A22" t="n">
        <x:v>19</x:v>
      </x:c>
      <x:c r="B22" t="n">
        <x:v>3</x:v>
      </x:c>
      <x:c r="C22" s="40" t="str">
        <x:v>242 - Code Injection + 88 - OS Command Injection + 33 - HTTP Request Smuggling</x:v>
      </x:c>
      <x:c r="D22" t="str">
        <x:v>242 + 88 + 33</x:v>
      </x:c>
      <x:c r="E22" s="38" t="n">
        <x:v>510</x:v>
      </x:c>
      <x:c r="F22" s="42" t="n">
        <x:f>E22/Resumen!$B$6</x:f>
        <x:v>0.0005617884701178104</x:v>
      </x:c>
      <x:c r="G22" s="42" t="n">
        <x:f>IF(B22=0,"",E22/Resumen!$B$8)</x:f>
        <x:v>0.0013329151638701584</x:v>
      </x:c>
      <x:c r="H22" s="68" t="n">
        <x:v>0</x:v>
      </x:c>
      <x:c r="I22" s="68" t="n">
        <x:v>1</x:v>
      </x:c>
      <x:c r="J22" s="68" t="n">
        <x:v>1</x:v>
      </x:c>
      <x:c r="K22" s="68" t="n">
        <x:v>0</x:v>
      </x:c>
      <x:c r="L22" s="68" t="n">
        <x:v>0</x:v>
      </x:c>
      <x:c r="M22" s="68" t="n">
        <x:v>0</x:v>
      </x:c>
      <x:c r="N22" s="68" t="n">
        <x:v>0</x:v>
      </x:c>
      <x:c r="O22" s="68" t="n">
        <x:v>0</x:v>
      </x:c>
      <x:c r="P22" s="68" t="n">
        <x:v>0</x:v>
      </x:c>
      <x:c r="Q22" s="68" t="n">
        <x:v>0</x:v>
      </x:c>
      <x:c r="R22" s="68" t="n">
        <x:v>0</x:v>
      </x:c>
      <x:c r="S22" s="68" t="n">
        <x:v>0</x:v>
      </x:c>
      <x:c r="T22" s="68" t="n">
        <x:v>1</x:v>
      </x:c>
    </x:row>
    <x:row r="23">
      <x:c r="A23" t="n">
        <x:v>20</x:v>
      </x:c>
      <x:c r="B23" t="n">
        <x:v>3</x:v>
      </x:c>
      <x:c r="C23" s="40" t="str">
        <x:v>88 - OS Command Injection + 126 - Path Traversal + 66 - SQL Injection</x:v>
      </x:c>
      <x:c r="D23" t="str">
        <x:v>88 + 126 + 66</x:v>
      </x:c>
      <x:c r="E23" s="38" t="n">
        <x:v>380</x:v>
      </x:c>
      <x:c r="F23" s="42" t="n">
        <x:f>E23/Resumen!$B$6</x:f>
        <x:v>0.00041858748753876066</x:v>
      </x:c>
      <x:c r="G23" s="42" t="n">
        <x:f>IF(B23=0,"",E23/Resumen!$B$8)</x:f>
        <x:v>0.0009931524750405102</x:v>
      </x:c>
      <x:c r="H23" s="68" t="n">
        <x:v>0</x:v>
      </x:c>
      <x:c r="I23" s="68" t="n">
        <x:v>0</x:v>
      </x:c>
      <x:c r="J23" s="68" t="n">
        <x:v>1</x:v>
      </x:c>
      <x:c r="K23" s="68" t="n">
        <x:v>1</x:v>
      </x:c>
      <x:c r="L23" s="68" t="n">
        <x:v>1</x:v>
      </x:c>
      <x:c r="M23" s="68" t="n">
        <x:v>0</x:v>
      </x:c>
      <x:c r="N23" s="68" t="n">
        <x:v>0</x:v>
      </x:c>
      <x:c r="O23" s="68" t="n">
        <x:v>0</x:v>
      </x:c>
      <x:c r="P23" s="68" t="n">
        <x:v>0</x:v>
      </x:c>
      <x:c r="Q23" s="68" t="n">
        <x:v>0</x:v>
      </x:c>
      <x:c r="R23" s="68" t="n">
        <x:v>0</x:v>
      </x:c>
      <x:c r="S23" s="68" t="n">
        <x:v>0</x:v>
      </x:c>
      <x:c r="T23" s="68" t="n">
        <x:v>0</x:v>
      </x:c>
    </x:row>
    <x:row r="24">
      <x:c r="A24" t="n">
        <x:v>21</x:v>
      </x:c>
      <x:c r="B24" t="n">
        <x:v>2</x:v>
      </x:c>
      <x:c r="C24" s="40" t="str">
        <x:v>66 - SQL Injection + 16 - Dictionary-based Password Attack</x:v>
      </x:c>
      <x:c r="D24" t="str">
        <x:v>66 + 16</x:v>
      </x:c>
      <x:c r="E24" s="38" t="n">
        <x:v>352</x:v>
      </x:c>
      <x:c r="F24" s="42" t="n">
        <x:f>E24/Resumen!$B$6</x:f>
        <x:v>0.00038774419898327303</x:v>
      </x:c>
      <x:c r="G24" s="42" t="n">
        <x:f>IF(B24=0,"",E24/Resumen!$B$8)</x:f>
        <x:v>0.0009199728189848936</x:v>
      </x:c>
      <x:c r="H24" s="68" t="n">
        <x:v>0</x:v>
      </x:c>
      <x:c r="I24" s="68" t="n">
        <x:v>0</x:v>
      </x:c>
      <x:c r="J24" s="68" t="n">
        <x:v>0</x:v>
      </x:c>
      <x:c r="K24" s="68" t="n">
        <x:v>0</x:v>
      </x:c>
      <x:c r="L24" s="68" t="n">
        <x:v>1</x:v>
      </x:c>
      <x:c r="M24" s="68" t="n">
        <x:v>1</x:v>
      </x:c>
      <x:c r="N24" s="68" t="n">
        <x:v>0</x:v>
      </x:c>
      <x:c r="O24" s="68" t="n">
        <x:v>0</x:v>
      </x:c>
      <x:c r="P24" s="68" t="n">
        <x:v>0</x:v>
      </x:c>
      <x:c r="Q24" s="68" t="n">
        <x:v>0</x:v>
      </x:c>
      <x:c r="R24" s="68" t="n">
        <x:v>0</x:v>
      </x:c>
      <x:c r="S24" s="68" t="n">
        <x:v>0</x:v>
      </x:c>
      <x:c r="T24" s="68" t="n">
        <x:v>0</x:v>
      </x:c>
    </x:row>
    <x:row r="25">
      <x:c r="A25" t="n">
        <x:v>22</x:v>
      </x:c>
      <x:c r="B25" t="n">
        <x:v>2</x:v>
      </x:c>
      <x:c r="C25" s="40" t="str">
        <x:v>272 - Protocol Manipulation + 126 - Path Traversal</x:v>
      </x:c>
      <x:c r="D25" t="str">
        <x:v>272 + 126</x:v>
      </x:c>
      <x:c r="E25" s="38" t="n">
        <x:v>267</x:v>
      </x:c>
      <x:c r="F25" s="42" t="n">
        <x:f>E25/Resumen!$B$6</x:f>
        <x:v>0.0002941127872969713</x:v>
      </x:c>
      <x:c r="G25" s="42" t="n">
        <x:f>IF(B25=0,"",E25/Resumen!$B$8)</x:f>
        <x:v>0.0006978202916732006</x:v>
      </x:c>
      <x:c r="H25" s="68" t="n">
        <x:v>1</x:v>
      </x:c>
      <x:c r="I25" s="68" t="n">
        <x:v>0</x:v>
      </x:c>
      <x:c r="J25" s="68" t="n">
        <x:v>0</x:v>
      </x:c>
      <x:c r="K25" s="68" t="n">
        <x:v>1</x:v>
      </x:c>
      <x:c r="L25" s="68" t="n">
        <x:v>0</x:v>
      </x:c>
      <x:c r="M25" s="68" t="n">
        <x:v>0</x:v>
      </x:c>
      <x:c r="N25" s="68" t="n">
        <x:v>0</x:v>
      </x:c>
      <x:c r="O25" s="68" t="n">
        <x:v>0</x:v>
      </x:c>
      <x:c r="P25" s="68" t="n">
        <x:v>0</x:v>
      </x:c>
      <x:c r="Q25" s="68" t="n">
        <x:v>0</x:v>
      </x:c>
      <x:c r="R25" s="68" t="n">
        <x:v>0</x:v>
      </x:c>
      <x:c r="S25" s="68" t="n">
        <x:v>0</x:v>
      </x:c>
      <x:c r="T25" s="68" t="n">
        <x:v>0</x:v>
      </x:c>
    </x:row>
    <x:row r="26">
      <x:c r="A26" t="n">
        <x:v>23</x:v>
      </x:c>
      <x:c r="B26" t="n">
        <x:v>2</x:v>
      </x:c>
      <x:c r="C26" s="40" t="str">
        <x:v>272 - Protocol Manipulation + 310 - Scanning for Vulnerable Software</x:v>
      </x:c>
      <x:c r="D26" t="str">
        <x:v>272 + 310</x:v>
      </x:c>
      <x:c r="E26" s="38" t="n">
        <x:v>253</x:v>
      </x:c>
      <x:c r="F26" s="42" t="n">
        <x:f>E26/Resumen!$B$6</x:f>
        <x:v>0.0002786911430192275</x:v>
      </x:c>
      <x:c r="G26" s="42" t="n">
        <x:f>IF(B26=0,"",E26/Resumen!$B$8)</x:f>
        <x:v>0.0006612304636453923</x:v>
      </x:c>
      <x:c r="H26" s="68" t="n">
        <x:v>1</x:v>
      </x:c>
      <x:c r="I26" s="68" t="n">
        <x:v>0</x:v>
      </x:c>
      <x:c r="J26" s="68" t="n">
        <x:v>0</x:v>
      </x:c>
      <x:c r="K26" s="68" t="n">
        <x:v>0</x:v>
      </x:c>
      <x:c r="L26" s="68" t="n">
        <x:v>0</x:v>
      </x:c>
      <x:c r="M26" s="68" t="n">
        <x:v>0</x:v>
      </x:c>
      <x:c r="N26" s="68" t="n">
        <x:v>1</x:v>
      </x:c>
      <x:c r="O26" s="68" t="n">
        <x:v>0</x:v>
      </x:c>
      <x:c r="P26" s="68" t="n">
        <x:v>0</x:v>
      </x:c>
      <x:c r="Q26" s="68" t="n">
        <x:v>0</x:v>
      </x:c>
      <x:c r="R26" s="68" t="n">
        <x:v>0</x:v>
      </x:c>
      <x:c r="S26" s="68" t="n">
        <x:v>0</x:v>
      </x:c>
      <x:c r="T26" s="68" t="n">
        <x:v>0</x:v>
      </x:c>
    </x:row>
    <x:row r="27">
      <x:c r="A27" t="n">
        <x:v>24</x:v>
      </x:c>
      <x:c r="B27" t="n">
        <x:v>2</x:v>
      </x:c>
      <x:c r="C27" s="40" t="str">
        <x:v>16 - Dictionary-based Password Attack + 194 - Fake the Source of Data</x:v>
      </x:c>
      <x:c r="D27" t="str">
        <x:v>16 + 194</x:v>
      </x:c>
      <x:c r="E27" s="38" t="n">
        <x:v>162</x:v>
      </x:c>
      <x:c r="F27" s="42" t="n">
        <x:f>E27/Resumen!$B$6</x:f>
        <x:v>0.0001784504552138927</x:v>
      </x:c>
      <x:c r="G27" s="42" t="n">
        <x:f>IF(B27=0,"",E27/Resumen!$B$8)</x:f>
        <x:v>0.0004233965814646385</x:v>
      </x:c>
      <x:c r="H27" s="68" t="n">
        <x:v>0</x:v>
      </x:c>
      <x:c r="I27" s="68" t="n">
        <x:v>0</x:v>
      </x:c>
      <x:c r="J27" s="68" t="n">
        <x:v>0</x:v>
      </x:c>
      <x:c r="K27" s="68" t="n">
        <x:v>0</x:v>
      </x:c>
      <x:c r="L27" s="68" t="n">
        <x:v>0</x:v>
      </x:c>
      <x:c r="M27" s="68" t="n">
        <x:v>1</x:v>
      </x:c>
      <x:c r="N27" s="68" t="n">
        <x:v>0</x:v>
      </x:c>
      <x:c r="O27" s="68" t="n">
        <x:v>0</x:v>
      </x:c>
      <x:c r="P27" s="68" t="n">
        <x:v>0</x:v>
      </x:c>
      <x:c r="Q27" s="68" t="n">
        <x:v>0</x:v>
      </x:c>
      <x:c r="R27" s="68" t="n">
        <x:v>1</x:v>
      </x:c>
      <x:c r="S27" s="68" t="n">
        <x:v>0</x:v>
      </x:c>
      <x:c r="T27" s="68" t="n">
        <x:v>0</x:v>
      </x:c>
    </x:row>
    <x:row r="28">
      <x:c r="A28" t="n">
        <x:v>25</x:v>
      </x:c>
      <x:c r="B28" t="n">
        <x:v>2</x:v>
      </x:c>
      <x:c r="C28" s="40" t="str">
        <x:v>272 - Protocol Manipulation + 66 - SQL Injection</x:v>
      </x:c>
      <x:c r="D28" t="str">
        <x:v>272 + 66</x:v>
      </x:c>
      <x:c r="E28" s="38" t="n">
        <x:v>124</x:v>
      </x:c>
      <x:c r="F28" s="42" t="n">
        <x:f>E28/Resumen!$B$6</x:f>
        <x:v>0.00013659170646001663</x:v>
      </x:c>
      <x:c r="G28" s="42" t="n">
        <x:f>IF(B28=0,"",E28/Resumen!$B$8)</x:f>
        <x:v>0.0003240813339605875</x:v>
      </x:c>
      <x:c r="H28" s="68" t="n">
        <x:v>1</x:v>
      </x:c>
      <x:c r="I28" s="68" t="n">
        <x:v>0</x:v>
      </x:c>
      <x:c r="J28" s="68" t="n">
        <x:v>0</x:v>
      </x:c>
      <x:c r="K28" s="68" t="n">
        <x:v>0</x:v>
      </x:c>
      <x:c r="L28" s="68" t="n">
        <x:v>1</x:v>
      </x:c>
      <x:c r="M28" s="68" t="n">
        <x:v>0</x:v>
      </x:c>
      <x:c r="N28" s="68" t="n">
        <x:v>0</x:v>
      </x:c>
      <x:c r="O28" s="68" t="n">
        <x:v>0</x:v>
      </x:c>
      <x:c r="P28" s="68" t="n">
        <x:v>0</x:v>
      </x:c>
      <x:c r="Q28" s="68" t="n">
        <x:v>0</x:v>
      </x:c>
      <x:c r="R28" s="68" t="n">
        <x:v>0</x:v>
      </x:c>
      <x:c r="S28" s="68" t="n">
        <x:v>0</x:v>
      </x:c>
      <x:c r="T28" s="68" t="n">
        <x:v>0</x:v>
      </x:c>
    </x:row>
    <x:row r="29">
      <x:c r="A29" t="n">
        <x:v>26</x:v>
      </x:c>
      <x:c r="B29" t="n">
        <x:v>2</x:v>
      </x:c>
      <x:c r="C29" s="40" t="str">
        <x:v>126 - Path Traversal + 153 - Input Data Manipulation</x:v>
      </x:c>
      <x:c r="D29" t="str">
        <x:v>126 + 153</x:v>
      </x:c>
      <x:c r="E29" s="38" t="n">
        <x:v>108</x:v>
      </x:c>
      <x:c r="F29" s="42" t="n">
        <x:f>E29/Resumen!$B$6</x:f>
        <x:v>0.00011896697014259514</x:v>
      </x:c>
      <x:c r="G29" s="42" t="n">
        <x:f>IF(B29=0,"",E29/Resumen!$B$8)</x:f>
        <x:v>0.0002822643876430924</x:v>
      </x:c>
      <x:c r="H29" s="68" t="n">
        <x:v>0</x:v>
      </x:c>
      <x:c r="I29" s="68" t="n">
        <x:v>0</x:v>
      </x:c>
      <x:c r="J29" s="68" t="n">
        <x:v>0</x:v>
      </x:c>
      <x:c r="K29" s="68" t="n">
        <x:v>1</x:v>
      </x:c>
      <x:c r="L29" s="68" t="n">
        <x:v>0</x:v>
      </x:c>
      <x:c r="M29" s="68" t="n">
        <x:v>0</x:v>
      </x:c>
      <x:c r="N29" s="68" t="n">
        <x:v>0</x:v>
      </x:c>
      <x:c r="O29" s="68" t="n">
        <x:v>1</x:v>
      </x:c>
      <x:c r="P29" s="68" t="n">
        <x:v>0</x:v>
      </x:c>
      <x:c r="Q29" s="68" t="n">
        <x:v>0</x:v>
      </x:c>
      <x:c r="R29" s="68" t="n">
        <x:v>0</x:v>
      </x:c>
      <x:c r="S29" s="68" t="n">
        <x:v>0</x:v>
      </x:c>
      <x:c r="T29" s="68" t="n">
        <x:v>0</x:v>
      </x:c>
    </x:row>
    <x:row r="30">
      <x:c r="A30" t="n">
        <x:v>27</x:v>
      </x:c>
      <x:c r="B30" t="n">
        <x:v>2</x:v>
      </x:c>
      <x:c r="C30" s="40" t="str">
        <x:v>88 - OS Command Injection + 16 - Dictionary-based Password Attack</x:v>
      </x:c>
      <x:c r="D30" t="str">
        <x:v>88 + 16</x:v>
      </x:c>
      <x:c r="E30" s="38" t="n">
        <x:v>94</x:v>
      </x:c>
      <x:c r="F30" s="42" t="n">
        <x:f>E30/Resumen!$B$6</x:f>
        <x:v>0.00010354532586485132</x:v>
      </x:c>
      <x:c r="G30" s="42" t="n">
        <x:f>IF(B30=0,"",E30/Resumen!$B$8)</x:f>
        <x:v>0.0002456745596152841</x:v>
      </x:c>
      <x:c r="H30" s="68" t="n">
        <x:v>0</x:v>
      </x:c>
      <x:c r="I30" s="68" t="n">
        <x:v>0</x:v>
      </x:c>
      <x:c r="J30" s="68" t="n">
        <x:v>1</x:v>
      </x:c>
      <x:c r="K30" s="68" t="n">
        <x:v>0</x:v>
      </x:c>
      <x:c r="L30" s="68" t="n">
        <x:v>0</x:v>
      </x:c>
      <x:c r="M30" s="68" t="n">
        <x:v>1</x:v>
      </x:c>
      <x:c r="N30" s="68" t="n">
        <x:v>0</x:v>
      </x:c>
      <x:c r="O30" s="68" t="n">
        <x:v>0</x:v>
      </x:c>
      <x:c r="P30" s="68" t="n">
        <x:v>0</x:v>
      </x:c>
      <x:c r="Q30" s="68" t="n">
        <x:v>0</x:v>
      </x:c>
      <x:c r="R30" s="68" t="n">
        <x:v>0</x:v>
      </x:c>
      <x:c r="S30" s="68" t="n">
        <x:v>0</x:v>
      </x:c>
      <x:c r="T30" s="68" t="n">
        <x:v>0</x:v>
      </x:c>
    </x:row>
    <x:row r="31">
      <x:c r="A31" t="n">
        <x:v>28</x:v>
      </x:c>
      <x:c r="B31" t="n">
        <x:v>2</x:v>
      </x:c>
      <x:c r="C31" s="40" t="str">
        <x:v>16 - Dictionary-based Password Attack + 153 - Input Data Manipulation</x:v>
      </x:c>
      <x:c r="D31" t="str">
        <x:v>16 + 153</x:v>
      </x:c>
      <x:c r="E31" s="38" t="n">
        <x:v>86</x:v>
      </x:c>
      <x:c r="F31" s="42" t="n">
        <x:f>E31/Resumen!$B$6</x:f>
        <x:v>0.00009473295770614057</x:v>
      </x:c>
      <x:c r="G31" s="42" t="n">
        <x:f>IF(B31=0,"",E31/Resumen!$B$8)</x:f>
        <x:v>0.0002247660864565365</x:v>
      </x:c>
      <x:c r="H31" s="68" t="n">
        <x:v>0</x:v>
      </x:c>
      <x:c r="I31" s="68" t="n">
        <x:v>0</x:v>
      </x:c>
      <x:c r="J31" s="68" t="n">
        <x:v>0</x:v>
      </x:c>
      <x:c r="K31" s="68" t="n">
        <x:v>0</x:v>
      </x:c>
      <x:c r="L31" s="68" t="n">
        <x:v>0</x:v>
      </x:c>
      <x:c r="M31" s="68" t="n">
        <x:v>1</x:v>
      </x:c>
      <x:c r="N31" s="68" t="n">
        <x:v>0</x:v>
      </x:c>
      <x:c r="O31" s="68" t="n">
        <x:v>1</x:v>
      </x:c>
      <x:c r="P31" s="68" t="n">
        <x:v>0</x:v>
      </x:c>
      <x:c r="Q31" s="68" t="n">
        <x:v>0</x:v>
      </x:c>
      <x:c r="R31" s="68" t="n">
        <x:v>0</x:v>
      </x:c>
      <x:c r="S31" s="68" t="n">
        <x:v>0</x:v>
      </x:c>
      <x:c r="T31" s="68" t="n">
        <x:v>0</x:v>
      </x:c>
    </x:row>
    <x:row r="32">
      <x:c r="A32" t="n">
        <x:v>29</x:v>
      </x:c>
      <x:c r="B32" t="n">
        <x:v>3</x:v>
      </x:c>
      <x:c r="C32" s="40" t="str">
        <x:v>88 - OS Command Injection + 126 - Path Traversal + 16 - Dictionary-based Password Attack</x:v>
      </x:c>
      <x:c r="D32" t="str">
        <x:v>88 + 126 + 16</x:v>
      </x:c>
      <x:c r="E32" s="38" t="n">
        <x:v>78</x:v>
      </x:c>
      <x:c r="F32" s="42" t="n">
        <x:f>E32/Resumen!$B$6</x:f>
        <x:v>0.00008592058954742981</x:v>
      </x:c>
      <x:c r="G32" s="42" t="n">
        <x:f>IF(B32=0,"",E32/Resumen!$B$8)</x:f>
        <x:v>0.00020385761329778893</x:v>
      </x:c>
      <x:c r="H32" s="68" t="n">
        <x:v>0</x:v>
      </x:c>
      <x:c r="I32" s="68" t="n">
        <x:v>0</x:v>
      </x:c>
      <x:c r="J32" s="68" t="n">
        <x:v>1</x:v>
      </x:c>
      <x:c r="K32" s="68" t="n">
        <x:v>1</x:v>
      </x:c>
      <x:c r="L32" s="68" t="n">
        <x:v>0</x:v>
      </x:c>
      <x:c r="M32" s="68" t="n">
        <x:v>1</x:v>
      </x:c>
      <x:c r="N32" s="68" t="n">
        <x:v>0</x:v>
      </x:c>
      <x:c r="O32" s="68" t="n">
        <x:v>0</x:v>
      </x:c>
      <x:c r="P32" s="68" t="n">
        <x:v>0</x:v>
      </x:c>
      <x:c r="Q32" s="68" t="n">
        <x:v>0</x:v>
      </x:c>
      <x:c r="R32" s="68" t="n">
        <x:v>0</x:v>
      </x:c>
      <x:c r="S32" s="68" t="n">
        <x:v>0</x:v>
      </x:c>
      <x:c r="T32" s="68" t="n">
        <x:v>0</x:v>
      </x:c>
    </x:row>
    <x:row r="33">
      <x:c r="A33" t="n">
        <x:v>30</x:v>
      </x:c>
      <x:c r="B33" t="n">
        <x:v>2</x:v>
      </x:c>
      <x:c r="C33" s="40" t="str">
        <x:v>16 - Dictionary-based Password Attack + 34 - HTTP Response Splitting</x:v>
      </x:c>
      <x:c r="D33" t="str">
        <x:v>16 + 34</x:v>
      </x:c>
      <x:c r="E33" s="38" t="n">
        <x:v>50</x:v>
      </x:c>
      <x:c r="F33" s="42" t="n">
        <x:f>E33/Resumen!$B$6</x:f>
        <x:v>0.000055077300991942194</x:v>
      </x:c>
      <x:c r="G33" s="42" t="n">
        <x:f>IF(B33=0,"",E33/Resumen!$B$8)</x:f>
        <x:v>0.00013067795724217238</x:v>
      </x:c>
      <x:c r="H33" s="68" t="n">
        <x:v>0</x:v>
      </x:c>
      <x:c r="I33" s="68" t="n">
        <x:v>0</x:v>
      </x:c>
      <x:c r="J33" s="68" t="n">
        <x:v>0</x:v>
      </x:c>
      <x:c r="K33" s="68" t="n">
        <x:v>0</x:v>
      </x:c>
      <x:c r="L33" s="68" t="n">
        <x:v>0</x:v>
      </x:c>
      <x:c r="M33" s="68" t="n">
        <x:v>1</x:v>
      </x:c>
      <x:c r="N33" s="68" t="n">
        <x:v>0</x:v>
      </x:c>
      <x:c r="O33" s="68" t="n">
        <x:v>0</x:v>
      </x:c>
      <x:c r="P33" s="68" t="n">
        <x:v>0</x:v>
      </x:c>
      <x:c r="Q33" s="68" t="n">
        <x:v>0</x:v>
      </x:c>
      <x:c r="R33" s="68" t="n">
        <x:v>0</x:v>
      </x:c>
      <x:c r="S33" s="68" t="n">
        <x:v>1</x:v>
      </x:c>
      <x:c r="T33" s="68" t="n">
        <x:v>0</x:v>
      </x:c>
    </x:row>
    <x:row r="34">
      <x:c r="A34" t="n">
        <x:v>31</x:v>
      </x:c>
      <x:c r="B34" t="n">
        <x:v>3</x:v>
      </x:c>
      <x:c r="C34" s="40" t="str">
        <x:v>66 - SQL Injection + 16 - Dictionary-based Password Attack + 153 - Input Data Manipulation</x:v>
      </x:c>
      <x:c r="D34" t="str">
        <x:v>66 + 16 + 153</x:v>
      </x:c>
      <x:c r="E34" s="38" t="n">
        <x:v>38</x:v>
      </x:c>
      <x:c r="F34" s="42" t="n">
        <x:f>E34/Resumen!$B$6</x:f>
        <x:v>0.000041858748753876065</x:v>
      </x:c>
      <x:c r="G34" s="42" t="n">
        <x:f>IF(B34=0,"",E34/Resumen!$B$8)</x:f>
        <x:v>0.00009931524750405102</x:v>
      </x:c>
      <x:c r="H34" s="68" t="n">
        <x:v>0</x:v>
      </x:c>
      <x:c r="I34" s="68" t="n">
        <x:v>0</x:v>
      </x:c>
      <x:c r="J34" s="68" t="n">
        <x:v>0</x:v>
      </x:c>
      <x:c r="K34" s="68" t="n">
        <x:v>0</x:v>
      </x:c>
      <x:c r="L34" s="68" t="n">
        <x:v>1</x:v>
      </x:c>
      <x:c r="M34" s="68" t="n">
        <x:v>1</x:v>
      </x:c>
      <x:c r="N34" s="68" t="n">
        <x:v>0</x:v>
      </x:c>
      <x:c r="O34" s="68" t="n">
        <x:v>1</x:v>
      </x:c>
      <x:c r="P34" s="68" t="n">
        <x:v>0</x:v>
      </x:c>
      <x:c r="Q34" s="68" t="n">
        <x:v>0</x:v>
      </x:c>
      <x:c r="R34" s="68" t="n">
        <x:v>0</x:v>
      </x:c>
      <x:c r="S34" s="68" t="n">
        <x:v>0</x:v>
      </x:c>
      <x:c r="T34" s="68" t="n">
        <x:v>0</x:v>
      </x:c>
    </x:row>
    <x:row r="35">
      <x:c r="A35" t="n">
        <x:v>32</x:v>
      </x:c>
      <x:c r="B35" t="n">
        <x:v>2</x:v>
      </x:c>
      <x:c r="C35" s="40" t="str">
        <x:v>126 - Path Traversal + 16 - Dictionary-based Password Attack</x:v>
      </x:c>
      <x:c r="D35" t="str">
        <x:v>126 + 16</x:v>
      </x:c>
      <x:c r="E35" s="38" t="n">
        <x:v>34</x:v>
      </x:c>
      <x:c r="F35" s="42" t="n">
        <x:f>E35/Resumen!$B$6</x:f>
        <x:v>0.00003745256467452069</x:v>
      </x:c>
      <x:c r="G35" s="42" t="n">
        <x:f>IF(B35=0,"",E35/Resumen!$B$8)</x:f>
        <x:v>0.00008886101092467722</x:v>
      </x:c>
      <x:c r="H35" s="68" t="n">
        <x:v>0</x:v>
      </x:c>
      <x:c r="I35" s="68" t="n">
        <x:v>0</x:v>
      </x:c>
      <x:c r="J35" s="68" t="n">
        <x:v>0</x:v>
      </x:c>
      <x:c r="K35" s="68" t="n">
        <x:v>1</x:v>
      </x:c>
      <x:c r="L35" s="68" t="n">
        <x:v>0</x:v>
      </x:c>
      <x:c r="M35" s="68" t="n">
        <x:v>1</x:v>
      </x:c>
      <x:c r="N35" s="68" t="n">
        <x:v>0</x:v>
      </x:c>
      <x:c r="O35" s="68" t="n">
        <x:v>0</x:v>
      </x:c>
      <x:c r="P35" s="68" t="n">
        <x:v>0</x:v>
      </x:c>
      <x:c r="Q35" s="68" t="n">
        <x:v>0</x:v>
      </x:c>
      <x:c r="R35" s="68" t="n">
        <x:v>0</x:v>
      </x:c>
      <x:c r="S35" s="68" t="n">
        <x:v>0</x:v>
      </x:c>
      <x:c r="T35" s="68" t="n">
        <x:v>0</x:v>
      </x:c>
    </x:row>
    <x:row r="36">
      <x:c r="A36" t="n">
        <x:v>33</x:v>
      </x:c>
      <x:c r="B36" t="n">
        <x:v>2</x:v>
      </x:c>
      <x:c r="C36" s="40" t="str">
        <x:v>272 - Protocol Manipulation + 88 - OS Command Injection</x:v>
      </x:c>
      <x:c r="D36" t="str">
        <x:v>272 + 88</x:v>
      </x:c>
      <x:c r="E36" s="38" t="n">
        <x:v>32</x:v>
      </x:c>
      <x:c r="F36" s="42" t="n">
        <x:f>E36/Resumen!$B$6</x:f>
        <x:v>0.000035249472634843</x:v>
      </x:c>
      <x:c r="G36" s="42" t="n">
        <x:f>IF(B36=0,"",E36/Resumen!$B$8)</x:f>
        <x:v>0.00008363389263499033</x:v>
      </x:c>
      <x:c r="H36" s="68" t="n">
        <x:v>1</x:v>
      </x:c>
      <x:c r="I36" s="68" t="n">
        <x:v>0</x:v>
      </x:c>
      <x:c r="J36" s="68" t="n">
        <x:v>1</x:v>
      </x:c>
      <x:c r="K36" s="68" t="n">
        <x:v>0</x:v>
      </x:c>
      <x:c r="L36" s="68" t="n">
        <x:v>0</x:v>
      </x:c>
      <x:c r="M36" s="68" t="n">
        <x:v>0</x:v>
      </x:c>
      <x:c r="N36" s="68" t="n">
        <x:v>0</x:v>
      </x:c>
      <x:c r="O36" s="68" t="n">
        <x:v>0</x:v>
      </x:c>
      <x:c r="P36" s="68" t="n">
        <x:v>0</x:v>
      </x:c>
      <x:c r="Q36" s="68" t="n">
        <x:v>0</x:v>
      </x:c>
      <x:c r="R36" s="68" t="n">
        <x:v>0</x:v>
      </x:c>
      <x:c r="S36" s="68" t="n">
        <x:v>0</x:v>
      </x:c>
      <x:c r="T36" s="68" t="n">
        <x:v>0</x:v>
      </x:c>
    </x:row>
    <x:row r="37">
      <x:c r="A37" t="n">
        <x:v>34</x:v>
      </x:c>
      <x:c r="B37" t="n">
        <x:v>2</x:v>
      </x:c>
      <x:c r="C37" s="40" t="str">
        <x:v>88 - OS Command Injection + 153 - Input Data Manipulation</x:v>
      </x:c>
      <x:c r="D37" t="str">
        <x:v>88 + 153</x:v>
      </x:c>
      <x:c r="E37" s="38" t="n">
        <x:v>32</x:v>
      </x:c>
      <x:c r="F37" s="42" t="n">
        <x:f>E37/Resumen!$B$6</x:f>
        <x:v>0.000035249472634843</x:v>
      </x:c>
      <x:c r="G37" s="42" t="n">
        <x:f>IF(B37=0,"",E37/Resumen!$B$8)</x:f>
        <x:v>0.00008363389263499033</x:v>
      </x:c>
      <x:c r="H37" s="68" t="n">
        <x:v>0</x:v>
      </x:c>
      <x:c r="I37" s="68" t="n">
        <x:v>0</x:v>
      </x:c>
      <x:c r="J37" s="68" t="n">
        <x:v>1</x:v>
      </x:c>
      <x:c r="K37" s="68" t="n">
        <x:v>0</x:v>
      </x:c>
      <x:c r="L37" s="68" t="n">
        <x:v>0</x:v>
      </x:c>
      <x:c r="M37" s="68" t="n">
        <x:v>0</x:v>
      </x:c>
      <x:c r="N37" s="68" t="n">
        <x:v>0</x:v>
      </x:c>
      <x:c r="O37" s="68" t="n">
        <x:v>1</x:v>
      </x:c>
      <x:c r="P37" s="68" t="n">
        <x:v>0</x:v>
      </x:c>
      <x:c r="Q37" s="68" t="n">
        <x:v>0</x:v>
      </x:c>
      <x:c r="R37" s="68" t="n">
        <x:v>0</x:v>
      </x:c>
      <x:c r="S37" s="68" t="n">
        <x:v>0</x:v>
      </x:c>
      <x:c r="T37" s="68" t="n">
        <x:v>0</x:v>
      </x:c>
    </x:row>
    <x:row r="38">
      <x:c r="A38" t="n">
        <x:v>35</x:v>
      </x:c>
      <x:c r="B38" t="n">
        <x:v>2</x:v>
      </x:c>
      <x:c r="C38" s="40" t="str">
        <x:v>242 - Code Injection + 16 - Dictionary-based Password Attack</x:v>
      </x:c>
      <x:c r="D38" t="str">
        <x:v>242 + 16</x:v>
      </x:c>
      <x:c r="E38" s="38" t="n">
        <x:v>24</x:v>
      </x:c>
      <x:c r="F38" s="42" t="n">
        <x:f>E38/Resumen!$B$6</x:f>
        <x:v>0.000026437104476132252</x:v>
      </x:c>
      <x:c r="G38" s="42" t="n">
        <x:f>IF(B38=0,"",E38/Resumen!$B$8)</x:f>
        <x:v>0.00006272541947624274</x:v>
      </x:c>
      <x:c r="H38" s="68" t="n">
        <x:v>0</x:v>
      </x:c>
      <x:c r="I38" s="68" t="n">
        <x:v>1</x:v>
      </x:c>
      <x:c r="J38" s="68" t="n">
        <x:v>0</x:v>
      </x:c>
      <x:c r="K38" s="68" t="n">
        <x:v>0</x:v>
      </x:c>
      <x:c r="L38" s="68" t="n">
        <x:v>0</x:v>
      </x:c>
      <x:c r="M38" s="68" t="n">
        <x:v>1</x:v>
      </x:c>
      <x:c r="N38" s="68" t="n">
        <x:v>0</x:v>
      </x:c>
      <x:c r="O38" s="68" t="n">
        <x:v>0</x:v>
      </x:c>
      <x:c r="P38" s="68" t="n">
        <x:v>0</x:v>
      </x:c>
      <x:c r="Q38" s="68" t="n">
        <x:v>0</x:v>
      </x:c>
      <x:c r="R38" s="68" t="n">
        <x:v>0</x:v>
      </x:c>
      <x:c r="S38" s="68" t="n">
        <x:v>0</x:v>
      </x:c>
      <x:c r="T38" s="68" t="n">
        <x:v>0</x:v>
      </x:c>
    </x:row>
    <x:row r="39">
      <x:c r="A39" t="n">
        <x:v>36</x:v>
      </x:c>
      <x:c r="B39" t="n">
        <x:v>3</x:v>
      </x:c>
      <x:c r="C39" s="40" t="str">
        <x:v>242 - Code Injection + 88 - OS Command Injection + 16 - Dictionary-based Password Attack</x:v>
      </x:c>
      <x:c r="D39" t="str">
        <x:v>242 + 88 + 16</x:v>
      </x:c>
      <x:c r="E39" s="38" t="n">
        <x:v>24</x:v>
      </x:c>
      <x:c r="F39" s="42" t="n">
        <x:f>E39/Resumen!$B$6</x:f>
        <x:v>0.000026437104476132252</x:v>
      </x:c>
      <x:c r="G39" s="42" t="n">
        <x:f>IF(B39=0,"",E39/Resumen!$B$8)</x:f>
        <x:v>0.00006272541947624274</x:v>
      </x:c>
      <x:c r="H39" s="68" t="n">
        <x:v>0</x:v>
      </x:c>
      <x:c r="I39" s="68" t="n">
        <x:v>1</x:v>
      </x:c>
      <x:c r="J39" s="68" t="n">
        <x:v>1</x:v>
      </x:c>
      <x:c r="K39" s="68" t="n">
        <x:v>0</x:v>
      </x:c>
      <x:c r="L39" s="68" t="n">
        <x:v>0</x:v>
      </x:c>
      <x:c r="M39" s="68" t="n">
        <x:v>1</x:v>
      </x:c>
      <x:c r="N39" s="68" t="n">
        <x:v>0</x:v>
      </x:c>
      <x:c r="O39" s="68" t="n">
        <x:v>0</x:v>
      </x:c>
      <x:c r="P39" s="68" t="n">
        <x:v>0</x:v>
      </x:c>
      <x:c r="Q39" s="68" t="n">
        <x:v>0</x:v>
      </x:c>
      <x:c r="R39" s="68" t="n">
        <x:v>0</x:v>
      </x:c>
      <x:c r="S39" s="68" t="n">
        <x:v>0</x:v>
      </x:c>
      <x:c r="T39" s="68" t="n">
        <x:v>0</x:v>
      </x:c>
    </x:row>
    <x:row r="40">
      <x:c r="A40" t="n">
        <x:v>37</x:v>
      </x:c>
      <x:c r="B40" t="n">
        <x:v>2</x:v>
      </x:c>
      <x:c r="C40" s="40" t="str">
        <x:v>272 - Protocol Manipulation + 16 - Dictionary-based Password Attack</x:v>
      </x:c>
      <x:c r="D40" t="str">
        <x:v>272 + 16</x:v>
      </x:c>
      <x:c r="E40" s="38" t="n">
        <x:v>21</x:v>
      </x:c>
      <x:c r="F40" s="42" t="n">
        <x:f>E40/Resumen!$B$6</x:f>
        <x:v>0.00002313246641661572</x:v>
      </x:c>
      <x:c r="G40" s="42" t="n">
        <x:f>IF(B40=0,"",E40/Resumen!$B$8)</x:f>
        <x:v>0.0000548847420417124</x:v>
      </x:c>
      <x:c r="H40" s="68" t="n">
        <x:v>1</x:v>
      </x:c>
      <x:c r="I40" s="68" t="n">
        <x:v>0</x:v>
      </x:c>
      <x:c r="J40" s="68" t="n">
        <x:v>0</x:v>
      </x:c>
      <x:c r="K40" s="68" t="n">
        <x:v>0</x:v>
      </x:c>
      <x:c r="L40" s="68" t="n">
        <x:v>0</x:v>
      </x:c>
      <x:c r="M40" s="68" t="n">
        <x:v>1</x:v>
      </x:c>
      <x:c r="N40" s="68" t="n">
        <x:v>0</x:v>
      </x:c>
      <x:c r="O40" s="68" t="n">
        <x:v>0</x:v>
      </x:c>
      <x:c r="P40" s="68" t="n">
        <x:v>0</x:v>
      </x:c>
      <x:c r="Q40" s="68" t="n">
        <x:v>0</x:v>
      </x:c>
      <x:c r="R40" s="68" t="n">
        <x:v>0</x:v>
      </x:c>
      <x:c r="S40" s="68" t="n">
        <x:v>0</x:v>
      </x:c>
      <x:c r="T40" s="68" t="n">
        <x:v>0</x:v>
      </x:c>
    </x:row>
    <x:row r="41">
      <x:c r="A41" t="n">
        <x:v>38</x:v>
      </x:c>
      <x:c r="B41" t="n">
        <x:v>2</x:v>
      </x:c>
      <x:c r="C41" s="40" t="str">
        <x:v>272 - Protocol Manipulation + 34 - HTTP Response Splitting</x:v>
      </x:c>
      <x:c r="D41" t="str">
        <x:v>272 + 34</x:v>
      </x:c>
      <x:c r="E41" s="38" t="n">
        <x:v>20</x:v>
      </x:c>
      <x:c r="F41" s="42" t="n">
        <x:f>E41/Resumen!$B$6</x:f>
        <x:v>0.000022030920396776878</x:v>
      </x:c>
      <x:c r="G41" s="42" t="n">
        <x:f>IF(B41=0,"",E41/Resumen!$B$8)</x:f>
        <x:v>0.00005227118289686896</x:v>
      </x:c>
      <x:c r="H41" s="68" t="n">
        <x:v>1</x:v>
      </x:c>
      <x:c r="I41" s="68" t="n">
        <x:v>0</x:v>
      </x:c>
      <x:c r="J41" s="68" t="n">
        <x:v>0</x:v>
      </x:c>
      <x:c r="K41" s="68" t="n">
        <x:v>0</x:v>
      </x:c>
      <x:c r="L41" s="68" t="n">
        <x:v>0</x:v>
      </x:c>
      <x:c r="M41" s="68" t="n">
        <x:v>0</x:v>
      </x:c>
      <x:c r="N41" s="68" t="n">
        <x:v>0</x:v>
      </x:c>
      <x:c r="O41" s="68" t="n">
        <x:v>0</x:v>
      </x:c>
      <x:c r="P41" s="68" t="n">
        <x:v>0</x:v>
      </x:c>
      <x:c r="Q41" s="68" t="n">
        <x:v>0</x:v>
      </x:c>
      <x:c r="R41" s="68" t="n">
        <x:v>0</x:v>
      </x:c>
      <x:c r="S41" s="68" t="n">
        <x:v>1</x:v>
      </x:c>
      <x:c r="T41" s="68" t="n">
        <x:v>0</x:v>
      </x:c>
    </x:row>
    <x:row r="42">
      <x:c r="A42" t="n">
        <x:v>39</x:v>
      </x:c>
      <x:c r="B42" t="n">
        <x:v>3</x:v>
      </x:c>
      <x:c r="C42" s="40" t="str">
        <x:v>242 - Code Injection + 66 - SQL Injection + 16 - Dictionary-based Password Attack</x:v>
      </x:c>
      <x:c r="D42" t="str">
        <x:v>242 + 66 + 16</x:v>
      </x:c>
      <x:c r="E42" s="38" t="n">
        <x:v>19</x:v>
      </x:c>
      <x:c r="F42" s="42" t="n">
        <x:f>E42/Resumen!$B$6</x:f>
        <x:v>0.000020929374376938032</x:v>
      </x:c>
      <x:c r="G42" s="42" t="n">
        <x:f>IF(B42=0,"",E42/Resumen!$B$8)</x:f>
        <x:v>0.00004965762375202551</x:v>
      </x:c>
      <x:c r="H42" s="68" t="n">
        <x:v>0</x:v>
      </x:c>
      <x:c r="I42" s="68" t="n">
        <x:v>1</x:v>
      </x:c>
      <x:c r="J42" s="68" t="n">
        <x:v>0</x:v>
      </x:c>
      <x:c r="K42" s="68" t="n">
        <x:v>0</x:v>
      </x:c>
      <x:c r="L42" s="68" t="n">
        <x:v>1</x:v>
      </x:c>
      <x:c r="M42" s="68" t="n">
        <x:v>1</x:v>
      </x:c>
      <x:c r="N42" s="68" t="n">
        <x:v>0</x:v>
      </x:c>
      <x:c r="O42" s="68" t="n">
        <x:v>0</x:v>
      </x:c>
      <x:c r="P42" s="68" t="n">
        <x:v>0</x:v>
      </x:c>
      <x:c r="Q42" s="68" t="n">
        <x:v>0</x:v>
      </x:c>
      <x:c r="R42" s="68" t="n">
        <x:v>0</x:v>
      </x:c>
      <x:c r="S42" s="68" t="n">
        <x:v>0</x:v>
      </x:c>
      <x:c r="T42" s="68" t="n">
        <x:v>0</x:v>
      </x:c>
    </x:row>
    <x:row r="43">
      <x:c r="A43" t="n">
        <x:v>40</x:v>
      </x:c>
      <x:c r="B43" t="n">
        <x:v>3</x:v>
      </x:c>
      <x:c r="C43" s="40" t="str">
        <x:v>272 - Protocol Manipulation + 126 - Path Traversal + 310 - Scanning for Vulnerable Software</x:v>
      </x:c>
      <x:c r="D43" t="str">
        <x:v>272 + 126 + 310</x:v>
      </x:c>
      <x:c r="E43" s="38" t="n">
        <x:v>19</x:v>
      </x:c>
      <x:c r="F43" s="42" t="n">
        <x:f>E43/Resumen!$B$6</x:f>
        <x:v>0.000020929374376938032</x:v>
      </x:c>
      <x:c r="G43" s="42" t="n">
        <x:f>IF(B43=0,"",E43/Resumen!$B$8)</x:f>
        <x:v>0.00004965762375202551</x:v>
      </x:c>
      <x:c r="H43" s="68" t="n">
        <x:v>1</x:v>
      </x:c>
      <x:c r="I43" s="68" t="n">
        <x:v>0</x:v>
      </x:c>
      <x:c r="J43" s="68" t="n">
        <x:v>0</x:v>
      </x:c>
      <x:c r="K43" s="68" t="n">
        <x:v>1</x:v>
      </x:c>
      <x:c r="L43" s="68" t="n">
        <x:v>0</x:v>
      </x:c>
      <x:c r="M43" s="68" t="n">
        <x:v>0</x:v>
      </x:c>
      <x:c r="N43" s="68" t="n">
        <x:v>1</x:v>
      </x:c>
      <x:c r="O43" s="68" t="n">
        <x:v>0</x:v>
      </x:c>
      <x:c r="P43" s="68" t="n">
        <x:v>0</x:v>
      </x:c>
      <x:c r="Q43" s="68" t="n">
        <x:v>0</x:v>
      </x:c>
      <x:c r="R43" s="68" t="n">
        <x:v>0</x:v>
      </x:c>
      <x:c r="S43" s="68" t="n">
        <x:v>0</x:v>
      </x:c>
      <x:c r="T43" s="68" t="n">
        <x:v>0</x:v>
      </x:c>
    </x:row>
    <x:row r="44">
      <x:c r="A44" t="n">
        <x:v>41</x:v>
      </x:c>
      <x:c r="B44" t="n">
        <x:v>2</x:v>
      </x:c>
      <x:c r="C44" s="40" t="str">
        <x:v>126 - Path Traversal + 310 - Scanning for Vulnerable Software</x:v>
      </x:c>
      <x:c r="D44" t="str">
        <x:v>126 + 310</x:v>
      </x:c>
      <x:c r="E44" s="38" t="n">
        <x:v>18</x:v>
      </x:c>
      <x:c r="F44" s="42" t="n">
        <x:f>E44/Resumen!$B$6</x:f>
        <x:v>0.000019827828357099187</x:v>
      </x:c>
      <x:c r="G44" s="42" t="n">
        <x:f>IF(B44=0,"",E44/Resumen!$B$8)</x:f>
        <x:v>0.000047044064607182064</x:v>
      </x:c>
      <x:c r="H44" s="68" t="n">
        <x:v>0</x:v>
      </x:c>
      <x:c r="I44" s="68" t="n">
        <x:v>0</x:v>
      </x:c>
      <x:c r="J44" s="68" t="n">
        <x:v>0</x:v>
      </x:c>
      <x:c r="K44" s="68" t="n">
        <x:v>1</x:v>
      </x:c>
      <x:c r="L44" s="68" t="n">
        <x:v>0</x:v>
      </x:c>
      <x:c r="M44" s="68" t="n">
        <x:v>0</x:v>
      </x:c>
      <x:c r="N44" s="68" t="n">
        <x:v>1</x:v>
      </x:c>
      <x:c r="O44" s="68" t="n">
        <x:v>0</x:v>
      </x:c>
      <x:c r="P44" s="68" t="n">
        <x:v>0</x:v>
      </x:c>
      <x:c r="Q44" s="68" t="n">
        <x:v>0</x:v>
      </x:c>
      <x:c r="R44" s="68" t="n">
        <x:v>0</x:v>
      </x:c>
      <x:c r="S44" s="68" t="n">
        <x:v>0</x:v>
      </x:c>
      <x:c r="T44" s="68" t="n">
        <x:v>0</x:v>
      </x:c>
    </x:row>
    <x:row r="45">
      <x:c r="A45" t="n">
        <x:v>42</x:v>
      </x:c>
      <x:c r="B45" t="n">
        <x:v>2</x:v>
      </x:c>
      <x:c r="C45" s="40" t="str">
        <x:v>272 - Protocol Manipulation + 242 - Code Injection</x:v>
      </x:c>
      <x:c r="D45" t="str">
        <x:v>272 + 242</x:v>
      </x:c>
      <x:c r="E45" s="38" t="n">
        <x:v>18</x:v>
      </x:c>
      <x:c r="F45" s="42" t="n">
        <x:f>E45/Resumen!$B$6</x:f>
        <x:v>0.000019827828357099187</x:v>
      </x:c>
      <x:c r="G45" s="42" t="n">
        <x:f>IF(B45=0,"",E45/Resumen!$B$8)</x:f>
        <x:v>0.000047044064607182064</x:v>
      </x:c>
      <x:c r="H45" s="68" t="n">
        <x:v>1</x:v>
      </x:c>
      <x:c r="I45" s="68" t="n">
        <x:v>1</x:v>
      </x:c>
      <x:c r="J45" s="68" t="n">
        <x:v>0</x:v>
      </x:c>
      <x:c r="K45" s="68" t="n">
        <x:v>0</x:v>
      </x:c>
      <x:c r="L45" s="68" t="n">
        <x:v>0</x:v>
      </x:c>
      <x:c r="M45" s="68" t="n">
        <x:v>0</x:v>
      </x:c>
      <x:c r="N45" s="68" t="n">
        <x:v>0</x:v>
      </x:c>
      <x:c r="O45" s="68" t="n">
        <x:v>0</x:v>
      </x:c>
      <x:c r="P45" s="68" t="n">
        <x:v>0</x:v>
      </x:c>
      <x:c r="Q45" s="68" t="n">
        <x:v>0</x:v>
      </x:c>
      <x:c r="R45" s="68" t="n">
        <x:v>0</x:v>
      </x:c>
      <x:c r="S45" s="68" t="n">
        <x:v>0</x:v>
      </x:c>
      <x:c r="T45" s="68" t="n">
        <x:v>0</x:v>
      </x:c>
    </x:row>
    <x:row r="46">
      <x:c r="A46" t="n">
        <x:v>43</x:v>
      </x:c>
      <x:c r="B46" t="n">
        <x:v>4</x:v>
      </x:c>
      <x:c r="C46" s="40" t="str">
        <x:v>88 - OS Command Injection + 126 - Path Traversal + 66 - SQL Injection + 16 - Dictionary-based Password Attack</x:v>
      </x:c>
      <x:c r="D46" t="str">
        <x:v>88 + 126 + 66 + 16</x:v>
      </x:c>
      <x:c r="E46" s="38" t="n">
        <x:v>12</x:v>
      </x:c>
      <x:c r="F46" s="42" t="n">
        <x:f>E46/Resumen!$B$6</x:f>
        <x:v>0.000013218552238066126</x:v>
      </x:c>
      <x:c r="G46" s="42" t="n">
        <x:f>IF(B46=0,"",E46/Resumen!$B$8)</x:f>
        <x:v>0.00003136270973812137</x:v>
      </x:c>
      <x:c r="H46" s="68" t="n">
        <x:v>0</x:v>
      </x:c>
      <x:c r="I46" s="68" t="n">
        <x:v>0</x:v>
      </x:c>
      <x:c r="J46" s="68" t="n">
        <x:v>1</x:v>
      </x:c>
      <x:c r="K46" s="68" t="n">
        <x:v>1</x:v>
      </x:c>
      <x:c r="L46" s="68" t="n">
        <x:v>1</x:v>
      </x:c>
      <x:c r="M46" s="68" t="n">
        <x:v>1</x:v>
      </x:c>
      <x:c r="N46" s="68" t="n">
        <x:v>0</x:v>
      </x:c>
      <x:c r="O46" s="68" t="n">
        <x:v>0</x:v>
      </x:c>
      <x:c r="P46" s="68" t="n">
        <x:v>0</x:v>
      </x:c>
      <x:c r="Q46" s="68" t="n">
        <x:v>0</x:v>
      </x:c>
      <x:c r="R46" s="68" t="n">
        <x:v>0</x:v>
      </x:c>
      <x:c r="S46" s="68" t="n">
        <x:v>0</x:v>
      </x:c>
      <x:c r="T46" s="68" t="n">
        <x:v>0</x:v>
      </x:c>
    </x:row>
    <x:row r="47">
      <x:c r="A47" t="n">
        <x:v>44</x:v>
      </x:c>
      <x:c r="B47" t="n">
        <x:v>2</x:v>
      </x:c>
      <x:c r="C47" s="40" t="str">
        <x:v>16 - Dictionary-based Password Attack + 274 - HTTP Verb Tampering</x:v>
      </x:c>
      <x:c r="D47" t="str">
        <x:v>16 + 274</x:v>
      </x:c>
      <x:c r="E47" s="38" t="n">
        <x:v>8</x:v>
      </x:c>
      <x:c r="F47" s="42" t="n">
        <x:f>E47/Resumen!$B$6</x:f>
        <x:v>0.00000881236815871075</x:v>
      </x:c>
      <x:c r="G47" s="42" t="n">
        <x:f>IF(B47=0,"",E47/Resumen!$B$8)</x:f>
        <x:v>0.000020908473158747582</x:v>
      </x:c>
      <x:c r="H47" s="68" t="n">
        <x:v>0</x:v>
      </x:c>
      <x:c r="I47" s="68" t="n">
        <x:v>0</x:v>
      </x:c>
      <x:c r="J47" s="68" t="n">
        <x:v>0</x:v>
      </x:c>
      <x:c r="K47" s="68" t="n">
        <x:v>0</x:v>
      </x:c>
      <x:c r="L47" s="68" t="n">
        <x:v>0</x:v>
      </x:c>
      <x:c r="M47" s="68" t="n">
        <x:v>1</x:v>
      </x:c>
      <x:c r="N47" s="68" t="n">
        <x:v>0</x:v>
      </x:c>
      <x:c r="O47" s="68" t="n">
        <x:v>0</x:v>
      </x:c>
      <x:c r="P47" s="68" t="n">
        <x:v>0</x:v>
      </x:c>
      <x:c r="Q47" s="68" t="n">
        <x:v>1</x:v>
      </x:c>
      <x:c r="R47" s="68" t="n">
        <x:v>0</x:v>
      </x:c>
      <x:c r="S47" s="68" t="n">
        <x:v>0</x:v>
      </x:c>
      <x:c r="T47" s="68" t="n">
        <x:v>0</x:v>
      </x:c>
    </x:row>
    <x:row r="48">
      <x:c r="A48" t="n">
        <x:v>45</x:v>
      </x:c>
      <x:c r="B48" t="n">
        <x:v>2</x:v>
      </x:c>
      <x:c r="C48" s="40" t="str">
        <x:v>88 - OS Command Injection + 33 - HTTP Request Smuggling</x:v>
      </x:c>
      <x:c r="D48" t="str">
        <x:v>88 + 33</x:v>
      </x:c>
      <x:c r="E48" s="38" t="n">
        <x:v>6</x:v>
      </x:c>
      <x:c r="F48" s="42" t="n">
        <x:f>E48/Resumen!$B$6</x:f>
        <x:v>0.000006609276119033063</x:v>
      </x:c>
      <x:c r="G48" s="42" t="n">
        <x:f>IF(B48=0,"",E48/Resumen!$B$8)</x:f>
        <x:v>0.000015681354869060686</x:v>
      </x:c>
      <x:c r="H48" s="68" t="n">
        <x:v>0</x:v>
      </x:c>
      <x:c r="I48" s="68" t="n">
        <x:v>0</x:v>
      </x:c>
      <x:c r="J48" s="68" t="n">
        <x:v>1</x:v>
      </x:c>
      <x:c r="K48" s="68" t="n">
        <x:v>0</x:v>
      </x:c>
      <x:c r="L48" s="68" t="n">
        <x:v>0</x:v>
      </x:c>
      <x:c r="M48" s="68" t="n">
        <x:v>0</x:v>
      </x:c>
      <x:c r="N48" s="68" t="n">
        <x:v>0</x:v>
      </x:c>
      <x:c r="O48" s="68" t="n">
        <x:v>0</x:v>
      </x:c>
      <x:c r="P48" s="68" t="n">
        <x:v>0</x:v>
      </x:c>
      <x:c r="Q48" s="68" t="n">
        <x:v>0</x:v>
      </x:c>
      <x:c r="R48" s="68" t="n">
        <x:v>0</x:v>
      </x:c>
      <x:c r="S48" s="68" t="n">
        <x:v>0</x:v>
      </x:c>
      <x:c r="T48" s="68" t="n">
        <x:v>1</x:v>
      </x:c>
    </x:row>
    <x:row r="49">
      <x:c r="A49" t="n">
        <x:v>46</x:v>
      </x:c>
      <x:c r="B49" t="n">
        <x:v>3</x:v>
      </x:c>
      <x:c r="C49" s="40" t="str">
        <x:v>126 - Path Traversal + 16 - Dictionary-based Password Attack + 153 - Input Data Manipulation</x:v>
      </x:c>
      <x:c r="D49" t="str">
        <x:v>126 + 16 + 153</x:v>
      </x:c>
      <x:c r="E49" s="38" t="n">
        <x:v>6</x:v>
      </x:c>
      <x:c r="F49" s="42" t="n">
        <x:f>E49/Resumen!$B$6</x:f>
        <x:v>0.000006609276119033063</x:v>
      </x:c>
      <x:c r="G49" s="42" t="n">
        <x:f>IF(B49=0,"",E49/Resumen!$B$8)</x:f>
        <x:v>0.000015681354869060686</x:v>
      </x:c>
      <x:c r="H49" s="68" t="n">
        <x:v>0</x:v>
      </x:c>
      <x:c r="I49" s="68" t="n">
        <x:v>0</x:v>
      </x:c>
      <x:c r="J49" s="68" t="n">
        <x:v>0</x:v>
      </x:c>
      <x:c r="K49" s="68" t="n">
        <x:v>1</x:v>
      </x:c>
      <x:c r="L49" s="68" t="n">
        <x:v>0</x:v>
      </x:c>
      <x:c r="M49" s="68" t="n">
        <x:v>1</x:v>
      </x:c>
      <x:c r="N49" s="68" t="n">
        <x:v>0</x:v>
      </x:c>
      <x:c r="O49" s="68" t="n">
        <x:v>1</x:v>
      </x:c>
      <x:c r="P49" s="68" t="n">
        <x:v>0</x:v>
      </x:c>
      <x:c r="Q49" s="68" t="n">
        <x:v>0</x:v>
      </x:c>
      <x:c r="R49" s="68" t="n">
        <x:v>0</x:v>
      </x:c>
      <x:c r="S49" s="68" t="n">
        <x:v>0</x:v>
      </x:c>
      <x:c r="T49" s="68" t="n">
        <x:v>0</x:v>
      </x:c>
    </x:row>
    <x:row r="50">
      <x:c r="A50" t="n">
        <x:v>47</x:v>
      </x:c>
      <x:c r="B50" t="n">
        <x:v>3</x:v>
      </x:c>
      <x:c r="C50" s="40" t="str">
        <x:v>88 - OS Command Injection + 126 - Path Traversal + 33 - HTTP Request Smuggling</x:v>
      </x:c>
      <x:c r="D50" t="str">
        <x:v>88 + 126 + 33</x:v>
      </x:c>
      <x:c r="E50" s="38" t="n">
        <x:v>6</x:v>
      </x:c>
      <x:c r="F50" s="42" t="n">
        <x:f>E50/Resumen!$B$6</x:f>
        <x:v>0.000006609276119033063</x:v>
      </x:c>
      <x:c r="G50" s="42" t="n">
        <x:f>IF(B50=0,"",E50/Resumen!$B$8)</x:f>
        <x:v>0.000015681354869060686</x:v>
      </x:c>
      <x:c r="H50" s="68" t="n">
        <x:v>0</x:v>
      </x:c>
      <x:c r="I50" s="68" t="n">
        <x:v>0</x:v>
      </x:c>
      <x:c r="J50" s="68" t="n">
        <x:v>1</x:v>
      </x:c>
      <x:c r="K50" s="68" t="n">
        <x:v>1</x:v>
      </x:c>
      <x:c r="L50" s="68" t="n">
        <x:v>0</x:v>
      </x:c>
      <x:c r="M50" s="68" t="n">
        <x:v>0</x:v>
      </x:c>
      <x:c r="N50" s="68" t="n">
        <x:v>0</x:v>
      </x:c>
      <x:c r="O50" s="68" t="n">
        <x:v>0</x:v>
      </x:c>
      <x:c r="P50" s="68" t="n">
        <x:v>0</x:v>
      </x:c>
      <x:c r="Q50" s="68" t="n">
        <x:v>0</x:v>
      </x:c>
      <x:c r="R50" s="68" t="n">
        <x:v>0</x:v>
      </x:c>
      <x:c r="S50" s="68" t="n">
        <x:v>0</x:v>
      </x:c>
      <x:c r="T50" s="68" t="n">
        <x:v>1</x:v>
      </x:c>
    </x:row>
    <x:row r="51">
      <x:c r="A51" t="n">
        <x:v>48</x:v>
      </x:c>
      <x:c r="B51" t="n">
        <x:v>2</x:v>
      </x:c>
      <x:c r="C51" s="40" t="str">
        <x:v>66 - SQL Injection + 310 - Scanning for Vulnerable Software</x:v>
      </x:c>
      <x:c r="D51" t="str">
        <x:v>66 + 310</x:v>
      </x:c>
      <x:c r="E51" s="38" t="n">
        <x:v>5</x:v>
      </x:c>
      <x:c r="F51" s="42" t="n">
        <x:f>E51/Resumen!$B$6</x:f>
        <x:v>0.000005507730099194219</x:v>
      </x:c>
      <x:c r="G51" s="42" t="n">
        <x:f>IF(B51=0,"",E51/Resumen!$B$8)</x:f>
        <x:v>0.00001306779572421724</x:v>
      </x:c>
      <x:c r="H51" s="68" t="n">
        <x:v>0</x:v>
      </x:c>
      <x:c r="I51" s="68" t="n">
        <x:v>0</x:v>
      </x:c>
      <x:c r="J51" s="68" t="n">
        <x:v>0</x:v>
      </x:c>
      <x:c r="K51" s="68" t="n">
        <x:v>0</x:v>
      </x:c>
      <x:c r="L51" s="68" t="n">
        <x:v>1</x:v>
      </x:c>
      <x:c r="M51" s="68" t="n">
        <x:v>0</x:v>
      </x:c>
      <x:c r="N51" s="68" t="n">
        <x:v>1</x:v>
      </x:c>
      <x:c r="O51" s="68" t="n">
        <x:v>0</x:v>
      </x:c>
      <x:c r="P51" s="68" t="n">
        <x:v>0</x:v>
      </x:c>
      <x:c r="Q51" s="68" t="n">
        <x:v>0</x:v>
      </x:c>
      <x:c r="R51" s="68" t="n">
        <x:v>0</x:v>
      </x:c>
      <x:c r="S51" s="68" t="n">
        <x:v>0</x:v>
      </x:c>
      <x:c r="T51" s="68" t="n">
        <x:v>0</x:v>
      </x:c>
    </x:row>
    <x:row r="52">
      <x:c r="A52" t="n">
        <x:v>49</x:v>
      </x:c>
      <x:c r="B52" t="n">
        <x:v>4</x:v>
      </x:c>
      <x:c r="C52" s="40" t="str">
        <x:v>272 - Protocol Manipulation + 242 - Code Injection + 88 - OS Command Injection + 33 - HTTP Request Smuggling</x:v>
      </x:c>
      <x:c r="D52" t="str">
        <x:v>272 + 242 + 88 + 33</x:v>
      </x:c>
      <x:c r="E52" s="38" t="n">
        <x:v>3</x:v>
      </x:c>
      <x:c r="F52" s="42" t="n">
        <x:f>E52/Resumen!$B$6</x:f>
        <x:v>0.0000033046380595165315</x:v>
      </x:c>
      <x:c r="G52" s="42" t="n">
        <x:f>IF(B52=0,"",E52/Resumen!$B$8)</x:f>
        <x:v>0.000007840677434530343</x:v>
      </x:c>
      <x:c r="H52" s="68" t="n">
        <x:v>1</x:v>
      </x:c>
      <x:c r="I52" s="68" t="n">
        <x:v>1</x:v>
      </x:c>
      <x:c r="J52" s="68" t="n">
        <x:v>1</x:v>
      </x:c>
      <x:c r="K52" s="68" t="n">
        <x:v>0</x:v>
      </x:c>
      <x:c r="L52" s="68" t="n">
        <x:v>0</x:v>
      </x:c>
      <x:c r="M52" s="68" t="n">
        <x:v>0</x:v>
      </x:c>
      <x:c r="N52" s="68" t="n">
        <x:v>0</x:v>
      </x:c>
      <x:c r="O52" s="68" t="n">
        <x:v>0</x:v>
      </x:c>
      <x:c r="P52" s="68" t="n">
        <x:v>0</x:v>
      </x:c>
      <x:c r="Q52" s="68" t="n">
        <x:v>0</x:v>
      </x:c>
      <x:c r="R52" s="68" t="n">
        <x:v>0</x:v>
      </x:c>
      <x:c r="S52" s="68" t="n">
        <x:v>0</x:v>
      </x:c>
      <x:c r="T52" s="68" t="n">
        <x:v>1</x:v>
      </x:c>
    </x:row>
    <x:row r="53">
      <x:c r="A53" t="n">
        <x:v>50</x:v>
      </x:c>
      <x:c r="B53" t="n">
        <x:v>4</x:v>
      </x:c>
      <x:c r="C53" s="40" t="str">
        <x:v>272 - Protocol Manipulation + 88 - OS Command Injection + 126 - Path Traversal + 310 - Scanning for Vulnerable Software</x:v>
      </x:c>
      <x:c r="D53" t="str">
        <x:v>272 + 88 + 126 + 310</x:v>
      </x:c>
      <x:c r="E53" s="38" t="n">
        <x:v>3</x:v>
      </x:c>
      <x:c r="F53" s="42" t="n">
        <x:f>E53/Resumen!$B$6</x:f>
        <x:v>0.0000033046380595165315</x:v>
      </x:c>
      <x:c r="G53" s="42" t="n">
        <x:f>IF(B53=0,"",E53/Resumen!$B$8)</x:f>
        <x:v>0.000007840677434530343</x:v>
      </x:c>
      <x:c r="H53" s="68" t="n">
        <x:v>1</x:v>
      </x:c>
      <x:c r="I53" s="68" t="n">
        <x:v>0</x:v>
      </x:c>
      <x:c r="J53" s="68" t="n">
        <x:v>1</x:v>
      </x:c>
      <x:c r="K53" s="68" t="n">
        <x:v>1</x:v>
      </x:c>
      <x:c r="L53" s="68" t="n">
        <x:v>0</x:v>
      </x:c>
      <x:c r="M53" s="68" t="n">
        <x:v>0</x:v>
      </x:c>
      <x:c r="N53" s="68" t="n">
        <x:v>1</x:v>
      </x:c>
      <x:c r="O53" s="68" t="n">
        <x:v>0</x:v>
      </x:c>
      <x:c r="P53" s="68" t="n">
        <x:v>0</x:v>
      </x:c>
      <x:c r="Q53" s="68" t="n">
        <x:v>0</x:v>
      </x:c>
      <x:c r="R53" s="68" t="n">
        <x:v>0</x:v>
      </x:c>
      <x:c r="S53" s="68" t="n">
        <x:v>0</x:v>
      </x:c>
      <x:c r="T53" s="68" t="n">
        <x:v>0</x:v>
      </x:c>
    </x:row>
    <x:row r="54">
      <x:c r="A54" t="n">
        <x:v>51</x:v>
      </x:c>
      <x:c r="B54" t="n">
        <x:v>2</x:v>
      </x:c>
      <x:c r="C54" s="40" t="str">
        <x:v>242 - Code Injection + 310 - Scanning for Vulnerable Software</x:v>
      </x:c>
      <x:c r="D54" t="str">
        <x:v>242 + 310</x:v>
      </x:c>
      <x:c r="E54" s="38" t="n">
        <x:v>2</x:v>
      </x:c>
      <x:c r="F54" s="42" t="n">
        <x:f>E54/Resumen!$B$6</x:f>
        <x:v>0.0000022030920396776875</x:v>
      </x:c>
      <x:c r="G54" s="42" t="n">
        <x:f>IF(B54=0,"",E54/Resumen!$B$8)</x:f>
        <x:v>0.0000052271182896868955</x:v>
      </x:c>
      <x:c r="H54" s="68" t="n">
        <x:v>0</x:v>
      </x:c>
      <x:c r="I54" s="68" t="n">
        <x:v>1</x:v>
      </x:c>
      <x:c r="J54" s="68" t="n">
        <x:v>0</x:v>
      </x:c>
      <x:c r="K54" s="68" t="n">
        <x:v>0</x:v>
      </x:c>
      <x:c r="L54" s="68" t="n">
        <x:v>0</x:v>
      </x:c>
      <x:c r="M54" s="68" t="n">
        <x:v>0</x:v>
      </x:c>
      <x:c r="N54" s="68" t="n">
        <x:v>1</x:v>
      </x:c>
      <x:c r="O54" s="68" t="n">
        <x:v>0</x:v>
      </x:c>
      <x:c r="P54" s="68" t="n">
        <x:v>0</x:v>
      </x:c>
      <x:c r="Q54" s="68" t="n">
        <x:v>0</x:v>
      </x:c>
      <x:c r="R54" s="68" t="n">
        <x:v>0</x:v>
      </x:c>
      <x:c r="S54" s="68" t="n">
        <x:v>0</x:v>
      </x:c>
      <x:c r="T54" s="68" t="n">
        <x:v>0</x:v>
      </x:c>
    </x:row>
    <x:row r="55">
      <x:c r="A55" t="n">
        <x:v>52</x:v>
      </x:c>
      <x:c r="B55" t="n">
        <x:v>3</x:v>
      </x:c>
      <x:c r="C55" s="40" t="str">
        <x:v>272 - Protocol Manipulation + 66 - SQL Injection + 274 - HTTP Verb Tampering</x:v>
      </x:c>
      <x:c r="D55" t="str">
        <x:v>272 + 66 + 274</x:v>
      </x:c>
      <x:c r="E55" s="38" t="n">
        <x:v>2</x:v>
      </x:c>
      <x:c r="F55" s="42" t="n">
        <x:f>E55/Resumen!$B$6</x:f>
        <x:v>0.0000022030920396776875</x:v>
      </x:c>
      <x:c r="G55" s="42" t="n">
        <x:f>IF(B55=0,"",E55/Resumen!$B$8)</x:f>
        <x:v>0.0000052271182896868955</x:v>
      </x:c>
      <x:c r="H55" s="68" t="n">
        <x:v>1</x:v>
      </x:c>
      <x:c r="I55" s="68" t="n">
        <x:v>0</x:v>
      </x:c>
      <x:c r="J55" s="68" t="n">
        <x:v>0</x:v>
      </x:c>
      <x:c r="K55" s="68" t="n">
        <x:v>0</x:v>
      </x:c>
      <x:c r="L55" s="68" t="n">
        <x:v>1</x:v>
      </x:c>
      <x:c r="M55" s="68" t="n">
        <x:v>0</x:v>
      </x:c>
      <x:c r="N55" s="68" t="n">
        <x:v>0</x:v>
      </x:c>
      <x:c r="O55" s="68" t="n">
        <x:v>0</x:v>
      </x:c>
      <x:c r="P55" s="68" t="n">
        <x:v>0</x:v>
      </x:c>
      <x:c r="Q55" s="68" t="n">
        <x:v>1</x:v>
      </x:c>
      <x:c r="R55" s="68" t="n">
        <x:v>0</x:v>
      </x:c>
      <x:c r="S55" s="68" t="n">
        <x:v>0</x:v>
      </x:c>
      <x:c r="T55" s="68" t="n">
        <x:v>0</x:v>
      </x:c>
    </x:row>
    <x:row r="56">
      <x:c r="A56" t="n">
        <x:v>53</x:v>
      </x:c>
      <x:c r="B56" t="n">
        <x:v>3</x:v>
      </x:c>
      <x:c r="C56" s="40" t="str">
        <x:v>88 - OS Command Injection + 16 - Dictionary-based Password Attack + 153 - Input Data Manipulation</x:v>
      </x:c>
      <x:c r="D56" t="str">
        <x:v>88 + 16 + 153</x:v>
      </x:c>
      <x:c r="E56" s="38" t="n">
        <x:v>2</x:v>
      </x:c>
      <x:c r="F56" s="42" t="n">
        <x:f>E56/Resumen!$B$6</x:f>
        <x:v>0.0000022030920396776875</x:v>
      </x:c>
      <x:c r="G56" s="42" t="n">
        <x:f>IF(B56=0,"",E56/Resumen!$B$8)</x:f>
        <x:v>0.0000052271182896868955</x:v>
      </x:c>
      <x:c r="H56" s="68" t="n">
        <x:v>0</x:v>
      </x:c>
      <x:c r="I56" s="68" t="n">
        <x:v>0</x:v>
      </x:c>
      <x:c r="J56" s="68" t="n">
        <x:v>1</x:v>
      </x:c>
      <x:c r="K56" s="68" t="n">
        <x:v>0</x:v>
      </x:c>
      <x:c r="L56" s="68" t="n">
        <x:v>0</x:v>
      </x:c>
      <x:c r="M56" s="68" t="n">
        <x:v>1</x:v>
      </x:c>
      <x:c r="N56" s="68" t="n">
        <x:v>0</x:v>
      </x:c>
      <x:c r="O56" s="68" t="n">
        <x:v>1</x:v>
      </x:c>
      <x:c r="P56" s="68" t="n">
        <x:v>0</x:v>
      </x:c>
      <x:c r="Q56" s="68" t="n">
        <x:v>0</x:v>
      </x:c>
      <x:c r="R56" s="68" t="n">
        <x:v>0</x:v>
      </x:c>
      <x:c r="S56" s="68" t="n">
        <x:v>0</x:v>
      </x:c>
      <x:c r="T56" s="68" t="n">
        <x:v>0</x:v>
      </x:c>
    </x:row>
    <x:row r="57">
      <x:c r="A57" t="n">
        <x:v>54</x:v>
      </x:c>
      <x:c r="B57" t="n">
        <x:v>2</x:v>
      </x:c>
      <x:c r="C57" s="40" t="str">
        <x:v>126 - Path Traversal + 66 - SQL Injection</x:v>
      </x:c>
      <x:c r="D57" t="str">
        <x:v>126 + 66</x:v>
      </x:c>
      <x:c r="E57" s="38" t="n">
        <x:v>1</x:v>
      </x:c>
      <x:c r="F57" s="42" t="n">
        <x:f>E57/Resumen!$B$6</x:f>
        <x:v>0.0000011015460198388438</x:v>
      </x:c>
      <x:c r="G57" s="42" t="n">
        <x:f>IF(B57=0,"",E57/Resumen!$B$8)</x:f>
        <x:v>0.0000026135591448434478</x:v>
      </x:c>
      <x:c r="H57" s="68" t="n">
        <x:v>0</x:v>
      </x:c>
      <x:c r="I57" s="68" t="n">
        <x:v>0</x:v>
      </x:c>
      <x:c r="J57" s="68" t="n">
        <x:v>0</x:v>
      </x:c>
      <x:c r="K57" s="68" t="n">
        <x:v>1</x:v>
      </x:c>
      <x:c r="L57" s="68" t="n">
        <x:v>1</x:v>
      </x:c>
      <x:c r="M57" s="68" t="n">
        <x:v>0</x:v>
      </x:c>
      <x:c r="N57" s="68" t="n">
        <x:v>0</x:v>
      </x:c>
      <x:c r="O57" s="68" t="n">
        <x:v>0</x:v>
      </x:c>
      <x:c r="P57" s="68" t="n">
        <x:v>0</x:v>
      </x:c>
      <x:c r="Q57" s="68" t="n">
        <x:v>0</x:v>
      </x:c>
      <x:c r="R57" s="68" t="n">
        <x:v>0</x:v>
      </x:c>
      <x:c r="S57" s="68" t="n">
        <x:v>0</x:v>
      </x:c>
      <x:c r="T57" s="68" t="n">
        <x:v>0</x:v>
      </x:c>
    </x:row>
    <x:row r="58">
      <x:c r="A58" t="n">
        <x:v>55</x:v>
      </x:c>
      <x:c r="B58" t="n">
        <x:v>2</x:v>
      </x:c>
      <x:c r="C58" s="40" t="str">
        <x:v>310 - Scanning for Vulnerable Software + 274 - HTTP Verb Tampering</x:v>
      </x:c>
      <x:c r="D58" t="str">
        <x:v>310 + 274</x:v>
      </x:c>
      <x:c r="E58" s="38" t="n">
        <x:v>1</x:v>
      </x:c>
      <x:c r="F58" s="42" t="n">
        <x:f>E58/Resumen!$B$6</x:f>
        <x:v>0.0000011015460198388438</x:v>
      </x:c>
      <x:c r="G58" s="42" t="n">
        <x:f>IF(B58=0,"",E58/Resumen!$B$8)</x:f>
        <x:v>0.0000026135591448434478</x:v>
      </x:c>
      <x:c r="H58" s="68" t="n">
        <x:v>0</x:v>
      </x:c>
      <x:c r="I58" s="68" t="n">
        <x:v>0</x:v>
      </x:c>
      <x:c r="J58" s="68" t="n">
        <x:v>0</x:v>
      </x:c>
      <x:c r="K58" s="68" t="n">
        <x:v>0</x:v>
      </x:c>
      <x:c r="L58" s="68" t="n">
        <x:v>0</x:v>
      </x:c>
      <x:c r="M58" s="68" t="n">
        <x:v>0</x:v>
      </x:c>
      <x:c r="N58" s="68" t="n">
        <x:v>1</x:v>
      </x:c>
      <x:c r="O58" s="68" t="n">
        <x:v>0</x:v>
      </x:c>
      <x:c r="P58" s="68" t="n">
        <x:v>0</x:v>
      </x:c>
      <x:c r="Q58" s="68" t="n">
        <x:v>1</x:v>
      </x:c>
      <x:c r="R58" s="68" t="n">
        <x:v>0</x:v>
      </x:c>
      <x:c r="S58" s="68" t="n">
        <x:v>0</x:v>
      </x:c>
      <x:c r="T58" s="68" t="n">
        <x:v>0</x:v>
      </x:c>
    </x:row>
    <x:row r="59">
      <x:c r="A59" t="n">
        <x:v>56</x:v>
      </x:c>
      <x:c r="B59" t="n">
        <x:v>2</x:v>
      </x:c>
      <x:c r="C59" s="40" t="str">
        <x:v>88 - OS Command Injection + 310 - Scanning for Vulnerable Software</x:v>
      </x:c>
      <x:c r="D59" t="str">
        <x:v>88 + 310</x:v>
      </x:c>
      <x:c r="E59" s="38" t="n">
        <x:v>1</x:v>
      </x:c>
      <x:c r="F59" s="42" t="n">
        <x:f>E59/Resumen!$B$6</x:f>
        <x:v>0.0000011015460198388438</x:v>
      </x:c>
      <x:c r="G59" s="42" t="n">
        <x:f>IF(B59=0,"",E59/Resumen!$B$8)</x:f>
        <x:v>0.0000026135591448434478</x:v>
      </x:c>
      <x:c r="H59" s="68" t="n">
        <x:v>0</x:v>
      </x:c>
      <x:c r="I59" s="68" t="n">
        <x:v>0</x:v>
      </x:c>
      <x:c r="J59" s="68" t="n">
        <x:v>1</x:v>
      </x:c>
      <x:c r="K59" s="68" t="n">
        <x:v>0</x:v>
      </x:c>
      <x:c r="L59" s="68" t="n">
        <x:v>0</x:v>
      </x:c>
      <x:c r="M59" s="68" t="n">
        <x:v>0</x:v>
      </x:c>
      <x:c r="N59" s="68" t="n">
        <x:v>1</x:v>
      </x:c>
      <x:c r="O59" s="68" t="n">
        <x:v>0</x:v>
      </x:c>
      <x:c r="P59" s="68" t="n">
        <x:v>0</x:v>
      </x:c>
      <x:c r="Q59" s="68" t="n">
        <x:v>0</x:v>
      </x:c>
      <x:c r="R59" s="68" t="n">
        <x:v>0</x:v>
      </x:c>
      <x:c r="S59" s="68" t="n">
        <x:v>0</x:v>
      </x:c>
      <x:c r="T59" s="68" t="n">
        <x:v>0</x:v>
      </x:c>
    </x:row>
    <x:row r="60">
      <x:c r="A60" t="n">
        <x:v>57</x:v>
      </x:c>
      <x:c r="B60" t="n">
        <x:v>3</x:v>
      </x:c>
      <x:c r="C60" s="40" t="str">
        <x:v>272 - Protocol Manipulation + 16 - Dictionary-based Password Attack + 274 - HTTP Verb Tampering</x:v>
      </x:c>
      <x:c r="D60" t="str">
        <x:v>272 + 16 + 274</x:v>
      </x:c>
      <x:c r="E60" s="38" t="n">
        <x:v>1</x:v>
      </x:c>
      <x:c r="F60" s="42" t="n">
        <x:f>E60/Resumen!$B$6</x:f>
        <x:v>0.0000011015460198388438</x:v>
      </x:c>
      <x:c r="G60" s="42" t="n">
        <x:f>IF(B60=0,"",E60/Resumen!$B$8)</x:f>
        <x:v>0.0000026135591448434478</x:v>
      </x:c>
      <x:c r="H60" s="68" t="n">
        <x:v>1</x:v>
      </x:c>
      <x:c r="I60" s="68" t="n">
        <x:v>0</x:v>
      </x:c>
      <x:c r="J60" s="68" t="n">
        <x:v>0</x:v>
      </x:c>
      <x:c r="K60" s="68" t="n">
        <x:v>0</x:v>
      </x:c>
      <x:c r="L60" s="68" t="n">
        <x:v>0</x:v>
      </x:c>
      <x:c r="M60" s="68" t="n">
        <x:v>1</x:v>
      </x:c>
      <x:c r="N60" s="68" t="n">
        <x:v>0</x:v>
      </x:c>
      <x:c r="O60" s="68" t="n">
        <x:v>0</x:v>
      </x:c>
      <x:c r="P60" s="68" t="n">
        <x:v>0</x:v>
      </x:c>
      <x:c r="Q60" s="68" t="n">
        <x:v>1</x:v>
      </x:c>
      <x:c r="R60" s="68" t="n">
        <x:v>0</x:v>
      </x:c>
      <x:c r="S60" s="68" t="n">
        <x:v>0</x:v>
      </x:c>
      <x:c r="T60" s="68" t="n">
        <x:v>0</x:v>
      </x:c>
    </x:row>
    <x:row r="61">
      <x:c r="A61" t="n">
        <x:v>58</x:v>
      </x:c>
      <x:c r="B61" t="n">
        <x:v>3</x:v>
      </x:c>
      <x:c r="C61" s="40" t="str">
        <x:v>272 - Protocol Manipulation + 242 - Code Injection + 310 - Scanning for Vulnerable Software</x:v>
      </x:c>
      <x:c r="D61" t="str">
        <x:v>272 + 242 + 310</x:v>
      </x:c>
      <x:c r="E61" s="38" t="n">
        <x:v>1</x:v>
      </x:c>
      <x:c r="F61" s="42" t="n">
        <x:f>E61/Resumen!$B$6</x:f>
        <x:v>0.0000011015460198388438</x:v>
      </x:c>
      <x:c r="G61" s="42" t="n">
        <x:f>IF(B61=0,"",E61/Resumen!$B$8)</x:f>
        <x:v>0.0000026135591448434478</x:v>
      </x:c>
      <x:c r="H61" s="68" t="n">
        <x:v>1</x:v>
      </x:c>
      <x:c r="I61" s="68" t="n">
        <x:v>1</x:v>
      </x:c>
      <x:c r="J61" s="68" t="n">
        <x:v>0</x:v>
      </x:c>
      <x:c r="K61" s="68" t="n">
        <x:v>0</x:v>
      </x:c>
      <x:c r="L61" s="68" t="n">
        <x:v>0</x:v>
      </x:c>
      <x:c r="M61" s="68" t="n">
        <x:v>0</x:v>
      </x:c>
      <x:c r="N61" s="68" t="n">
        <x:v>1</x:v>
      </x:c>
      <x:c r="O61" s="68" t="n">
        <x:v>0</x:v>
      </x:c>
      <x:c r="P61" s="68" t="n">
        <x:v>0</x:v>
      </x:c>
      <x:c r="Q61" s="68" t="n">
        <x:v>0</x:v>
      </x:c>
      <x:c r="R61" s="68" t="n">
        <x:v>0</x:v>
      </x:c>
      <x:c r="S61" s="68" t="n">
        <x:v>0</x:v>
      </x:c>
      <x:c r="T61" s="68" t="n">
        <x:v>0</x:v>
      </x:c>
    </x:row>
    <x:row r="62">
      <x:c r="A62" t="n">
        <x:v>59</x:v>
      </x:c>
      <x:c r="B62" t="n">
        <x:v>3</x:v>
      </x:c>
      <x:c r="C62" s="40" t="str">
        <x:v>310 - Scanning for Vulnerable Software + 153 - Input Data Manipulation + 248 - Command Injection</x:v>
      </x:c>
      <x:c r="D62" t="str">
        <x:v>310 + 153 + 248</x:v>
      </x:c>
      <x:c r="E62" s="38" t="n">
        <x:v>1</x:v>
      </x:c>
      <x:c r="F62" s="42" t="n">
        <x:f>E62/Resumen!$B$6</x:f>
        <x:v>0.0000011015460198388438</x:v>
      </x:c>
      <x:c r="G62" s="42" t="n">
        <x:f>IF(B62=0,"",E62/Resumen!$B$8)</x:f>
        <x:v>0.0000026135591448434478</x:v>
      </x:c>
      <x:c r="H62" s="68" t="n">
        <x:v>0</x:v>
      </x:c>
      <x:c r="I62" s="68" t="n">
        <x:v>0</x:v>
      </x:c>
      <x:c r="J62" s="68" t="n">
        <x:v>0</x:v>
      </x:c>
      <x:c r="K62" s="68" t="n">
        <x:v>0</x:v>
      </x:c>
      <x:c r="L62" s="68" t="n">
        <x:v>0</x:v>
      </x:c>
      <x:c r="M62" s="68" t="n">
        <x:v>0</x:v>
      </x:c>
      <x:c r="N62" s="68" t="n">
        <x:v>1</x:v>
      </x:c>
      <x:c r="O62" s="68" t="n">
        <x:v>1</x:v>
      </x:c>
      <x:c r="P62" s="68" t="n">
        <x:v>1</x:v>
      </x:c>
      <x:c r="Q62" s="68" t="n">
        <x:v>0</x:v>
      </x:c>
      <x:c r="R62" s="68" t="n">
        <x:v>0</x:v>
      </x:c>
      <x:c r="S62" s="68" t="n">
        <x:v>0</x:v>
      </x:c>
      <x:c r="T62" s="68" t="n">
        <x:v>0</x:v>
      </x:c>
    </x:row>
    <x:row r="63">
      <x:c r="A63" t="n">
        <x:v>60</x:v>
      </x:c>
      <x:c r="B63" t="n">
        <x:v>3</x:v>
      </x:c>
      <x:c r="C63" s="40" t="str">
        <x:v>88 - OS Command Injection + 126 - Path Traversal + 310 - Scanning for Vulnerable Software</x:v>
      </x:c>
      <x:c r="D63" t="str">
        <x:v>88 + 126 + 310</x:v>
      </x:c>
      <x:c r="E63" s="38" t="n">
        <x:v>1</x:v>
      </x:c>
      <x:c r="F63" s="42" t="n">
        <x:f>E63/Resumen!$B$6</x:f>
        <x:v>0.0000011015460198388438</x:v>
      </x:c>
      <x:c r="G63" s="42" t="n">
        <x:f>IF(B63=0,"",E63/Resumen!$B$8)</x:f>
        <x:v>0.0000026135591448434478</x:v>
      </x:c>
      <x:c r="H63" s="68" t="n">
        <x:v>0</x:v>
      </x:c>
      <x:c r="I63" s="68" t="n">
        <x:v>0</x:v>
      </x:c>
      <x:c r="J63" s="68" t="n">
        <x:v>1</x:v>
      </x:c>
      <x:c r="K63" s="68" t="n">
        <x:v>1</x:v>
      </x:c>
      <x:c r="L63" s="68" t="n">
        <x:v>0</x:v>
      </x:c>
      <x:c r="M63" s="68" t="n">
        <x:v>0</x:v>
      </x:c>
      <x:c r="N63" s="68" t="n">
        <x:v>1</x:v>
      </x:c>
      <x:c r="O63" s="68" t="n">
        <x:v>0</x:v>
      </x:c>
      <x:c r="P63" s="68" t="n">
        <x:v>0</x:v>
      </x:c>
      <x:c r="Q63" s="68" t="n">
        <x:v>0</x:v>
      </x:c>
      <x:c r="R63" s="68" t="n">
        <x:v>0</x:v>
      </x:c>
      <x:c r="S63" s="68" t="n">
        <x:v>0</x:v>
      </x:c>
      <x:c r="T63" s="68" t="n">
        <x:v>0</x:v>
      </x:c>
    </x:row>
  </x:sheetData>
  <x:mergeCells>
    <x:mergeCell ref="A1:T1"/>
    <x:mergeCell ref="A2:T2"/>
  </x:mergeCells>
  <x:conditionalFormatting sqref="E4:E6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{F7AD63CA-50C2-E1AD-0547-B711008F3EF2}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3fd9ba0dd8c438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AD63CA-50C2-E1AD-0547-B711008F3EF2}">
            <x14:dataBar gradient="1">
              <x14:cfvo type="min"/>
              <x14:cfvo type="max"/>
              <x14:fillColor rgb="FF0F766E"/>
            </x14:dataBar>
          </x14:cfRule>
          <xm:sqref>E4:E63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28" hidden="0" customWidth="1"/>
  </x:cols>
  <x:sheetData>
    <x:row r="1" ht="28" customHeight="1">
      <x:c r="A1" s="49" t="str">
        <x:v>N ataques en el request</x:v>
      </x:c>
      <x:c r="B1" s="49" t="str">
        <x:v>Requests</x:v>
      </x:c>
      <x:c r="C1" s="49" t="str">
        <x:v>% total</x:v>
      </x:c>
      <x:c r="D1" s="49" t="str">
        <x:v>Combinaciones exactas distintas</x:v>
      </x:c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n">
        <x:v>0</x:v>
      </x:c>
      <x:c r="B2" s="38" t="n">
        <x:v>525195</x:v>
      </x:c>
      <x:c r="C2" s="42" t="n">
        <x:f>B2/Resumen!$B$6</x:f>
        <x:v>0.5785264618892616</x:v>
      </x:c>
      <x:c r="D2" t="n">
        <x:v>1</x:v>
      </x:c>
    </x:row>
    <x:row r="3">
      <x:c r="A3" t="n">
        <x:v>1</x:v>
      </x:c>
      <x:c r="B3" s="38" t="n">
        <x:v>373382</x:v>
      </x:c>
      <x:c r="C3" s="42" t="n">
        <x:f>B3/Resumen!$B$6</x:f>
        <x:v>0.4112974559794672</x:v>
      </x:c>
      <x:c r="D3" t="n">
        <x:v>11</x:v>
      </x:c>
    </x:row>
    <x:row r="4">
      <x:c r="A4" t="n">
        <x:v>2</x:v>
      </x:c>
      <x:c r="B4" s="38" t="n">
        <x:v>8132</x:v>
      </x:c>
      <x:c r="C4" s="42" t="n">
        <x:f>B4/Resumen!$B$6</x:f>
        <x:v>0.008957772233329478</x:v>
      </x:c>
      <x:c r="D4" t="n">
        <x:v>30</x:v>
      </x:c>
    </x:row>
    <x:row r="5">
      <x:c r="A5" t="n">
        <x:v>3</x:v>
      </x:c>
      <x:c r="B5" s="38" t="n">
        <x:v>1088</x:v>
      </x:c>
      <x:c r="C5" s="42" t="n">
        <x:f>B5/Resumen!$B$6</x:f>
        <x:v>0.001198482069584662</x:v>
      </x:c>
      <x:c r="D5" t="n">
        <x:v>15</x:v>
      </x:c>
    </x:row>
    <x:row r="6">
      <x:c r="A6" t="n">
        <x:v>4</x:v>
      </x:c>
      <x:c r="B6" s="38" t="n">
        <x:v>18</x:v>
      </x:c>
      <x:c r="C6" s="42" t="n">
        <x:f>B6/Resumen!$B$6</x:f>
        <x:v>0.000019827828357099187</x:v>
      </x:c>
      <x:c r="D6" t="n">
        <x:v>3</x:v>
      </x:c>
    </x:row>
  </x:sheetData>
  <x:pageMargins left="0.7" right="0.7" top="0.75" bottom="0.75" header="0.3" footer="0.3"/>
  <x:drawing xmlns:r="http://schemas.openxmlformats.org/officeDocument/2006/relationships" r:id="R999145b9ca38419f"/>
  <x:tableParts count="1">
    <x:tablePart xmlns:r="http://schemas.openxmlformats.org/officeDocument/2006/relationships" r:id="Reaa8671ee8ed4e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22" hidden="0" customWidth="1"/>
    <x:col min="5" max="5" width="12" hidden="0" customWidth="1"/>
    <x:col min="6" max="6" width="20" hidden="0" customWidth="1"/>
  </x:cols>
  <x:sheetData>
    <x:row r="1" ht="28" customHeight="1">
      <x:c r="A1" s="49" t="str">
        <x:v>Rank</x:v>
      </x:c>
      <x:c r="B1" s="49" t="str">
        <x:v>CAPEC ID</x:v>
      </x:c>
      <x:c r="C1" s="49" t="str">
        <x:v>Ataque</x:v>
      </x:c>
      <x:c r="D1" s="49" t="str">
        <x:v>Requests que lo contienen</x:v>
      </x:c>
      <x:c r="E1" s="49" t="str">
        <x:v>% total</x:v>
      </x:c>
      <x:c r="F1" s="49" t="str">
        <x:v>% requests con ataque</x:v>
      </x:c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n">
        <x:v>1</x:v>
      </x:c>
      <x:c r="B2" t="str">
        <x:v>66</x:v>
      </x:c>
      <x:c r="C2" s="40" t="str">
        <x:v>SQL Injection</x:v>
      </x:c>
      <x:c r="D2" s="38" t="n">
        <x:v>250311</x:v>
      </x:c>
      <x:c r="E2" s="42" t="n">
        <x:f>D2/Resumen!$B$6</x:f>
        <x:v>0.2757290857718808</x:v>
      </x:c>
      <x:c r="F2" s="42" t="n">
        <x:f>D2/Resumen!$B$8</x:f>
        <x:v>0.6542026031049083</x:v>
      </x:c>
    </x:row>
    <x:row r="3">
      <x:c r="A3" t="n">
        <x:v>2</x:v>
      </x:c>
      <x:c r="B3" t="str">
        <x:v>194</x:v>
      </x:c>
      <x:c r="C3" s="40" t="str">
        <x:v>Fake the Source of Data</x:v>
      </x:c>
      <x:c r="D3" s="38" t="n">
        <x:v>56145</x:v>
      </x:c>
      <x:c r="E3" s="42" t="n">
        <x:f>D3/Resumen!$B$6</x:f>
        <x:v>0.061846301283851886</x:v>
      </x:c>
      <x:c r="F3" s="42" t="n">
        <x:f>D3/Resumen!$B$8</x:f>
        <x:v>0.14673827818723537</x:v>
      </x:c>
    </x:row>
    <x:row r="4">
      <x:c r="A4" t="n">
        <x:v>3</x:v>
      </x:c>
      <x:c r="B4" t="str">
        <x:v>126</x:v>
      </x:c>
      <x:c r="C4" s="40" t="str">
        <x:v>Path Traversal</x:v>
      </x:c>
      <x:c r="D4" s="38" t="n">
        <x:v>20992</x:v>
      </x:c>
      <x:c r="E4" s="42" t="n">
        <x:f>D4/Resumen!$B$6</x:f>
        <x:v>0.02312365404845701</x:v>
      </x:c>
      <x:c r="F4" s="42" t="n">
        <x:f>D4/Resumen!$B$8</x:f>
        <x:v>0.054863833568553656</x:v>
      </x:c>
    </x:row>
    <x:row r="5">
      <x:c r="A5" t="n">
        <x:v>4</x:v>
      </x:c>
      <x:c r="B5" t="str">
        <x:v>34</x:v>
      </x:c>
      <x:c r="C5" s="40" t="str">
        <x:v>HTTP Response Splitting</x:v>
      </x:c>
      <x:c r="D5" s="38" t="n">
        <x:v>19738</x:v>
      </x:c>
      <x:c r="E5" s="42" t="n">
        <x:f>D5/Resumen!$B$6</x:f>
        <x:v>0.0217423153395791</x:v>
      </x:c>
      <x:c r="F5" s="42" t="n">
        <x:f>D5/Resumen!$B$8</x:f>
        <x:v>0.05158643040091997</x:v>
      </x:c>
    </x:row>
    <x:row r="6">
      <x:c r="A6" t="n">
        <x:v>5</x:v>
      </x:c>
      <x:c r="B6" t="str">
        <x:v>242</x:v>
      </x:c>
      <x:c r="C6" s="40" t="str">
        <x:v>Code Injection</x:v>
      </x:c>
      <x:c r="D6" s="38" t="n">
        <x:v>15827</x:v>
      </x:c>
      <x:c r="E6" s="42" t="n">
        <x:f>D6/Resumen!$B$6</x:f>
        <x:v>0.01743416885598938</x:v>
      </x:c>
      <x:c r="F6" s="42" t="n">
        <x:f>D6/Resumen!$B$8</x:f>
        <x:v>0.04136480058543725</x:v>
      </x:c>
    </x:row>
    <x:row r="7">
      <x:c r="A7" t="n">
        <x:v>6</x:v>
      </x:c>
      <x:c r="B7" t="str">
        <x:v>272</x:v>
      </x:c>
      <x:c r="C7" s="40" t="str">
        <x:v>Protocol Manipulation</x:v>
      </x:c>
      <x:c r="D7" s="38" t="n">
        <x:v>9153</x:v>
      </x:c>
      <x:c r="E7" s="42" t="n">
        <x:f>D7/Resumen!$B$6</x:f>
        <x:v>0.010082450719584938</x:v>
      </x:c>
      <x:c r="F7" s="42" t="n">
        <x:f>D7/Resumen!$B$8</x:f>
        <x:v>0.023921906852752077</x:v>
      </x:c>
    </x:row>
    <x:row r="8">
      <x:c r="A8" t="n">
        <x:v>7</x:v>
      </x:c>
      <x:c r="B8" t="str">
        <x:v>88</x:v>
      </x:c>
      <x:c r="C8" s="40" t="str">
        <x:v>OS Command Injection</x:v>
      </x:c>
      <x:c r="D8" s="38" t="n">
        <x:v>7482</x:v>
      </x:c>
      <x:c r="E8" s="42" t="n">
        <x:f>D8/Resumen!$B$6</x:f>
        <x:v>0.00824176732043423</x:v>
      </x:c>
      <x:c r="F8" s="42" t="n">
        <x:f>D8/Resumen!$B$8</x:f>
        <x:v>0.019554649521718676</x:v>
      </x:c>
    </x:row>
    <x:row r="9">
      <x:c r="A9" t="n">
        <x:v>8</x:v>
      </x:c>
      <x:c r="B9" t="str">
        <x:v>274</x:v>
      </x:c>
      <x:c r="C9" s="40" t="str">
        <x:v>HTTP Verb Tampering</x:v>
      </x:c>
      <x:c r="D9" s="38" t="n">
        <x:v>5437</x:v>
      </x:c>
      <x:c r="E9" s="42" t="n">
        <x:f>D9/Resumen!$B$6</x:f>
        <x:v>0.005989105709863794</x:v>
      </x:c>
      <x:c r="F9" s="42" t="n">
        <x:f>D9/Resumen!$B$8</x:f>
        <x:v>0.014209921070513826</x:v>
      </x:c>
    </x:row>
    <x:row r="10">
      <x:c r="A10" t="n">
        <x:v>9</x:v>
      </x:c>
      <x:c r="B10" t="str">
        <x:v>310</x:v>
      </x:c>
      <x:c r="C10" s="40" t="str">
        <x:v>Scanning for Vulnerable Software</x:v>
      </x:c>
      <x:c r="D10" s="38" t="n">
        <x:v>2718</x:v>
      </x:c>
      <x:c r="E10" s="42" t="n">
        <x:f>D10/Resumen!$B$6</x:f>
        <x:v>0.0029940020819219774</x:v>
      </x:c>
      <x:c r="F10" s="42" t="n">
        <x:f>D10/Resumen!$B$8</x:f>
        <x:v>0.007103653755684491</x:v>
      </x:c>
    </x:row>
    <x:row r="11">
      <x:c r="A11" t="n">
        <x:v>10</x:v>
      </x:c>
      <x:c r="B11" t="str">
        <x:v>153</x:v>
      </x:c>
      <x:c r="C11" s="40" t="str">
        <x:v>Input Data Manipulation</x:v>
      </x:c>
      <x:c r="D11" s="38" t="n">
        <x:v>2272</x:v>
      </x:c>
      <x:c r="E11" s="42" t="n">
        <x:f>D11/Resumen!$B$6</x:f>
        <x:v>0.002502712557073853</x:v>
      </x:c>
      <x:c r="F11" s="42" t="n">
        <x:f>D11/Resumen!$B$8</x:f>
        <x:v>0.0059380063770843134</x:v>
      </x:c>
    </x:row>
    <x:row r="12">
      <x:c r="A12" t="n">
        <x:v>11</x:v>
      </x:c>
      <x:c r="B12" t="str">
        <x:v>16</x:v>
      </x:c>
      <x:c r="C12" s="40" t="str">
        <x:v>Dictionary-based Password Attack</x:v>
      </x:c>
      <x:c r="D12" s="38" t="n">
        <x:v>1847</x:v>
      </x:c>
      <x:c r="E12" s="42" t="n">
        <x:f>D12/Resumen!$B$6</x:f>
        <x:v>0.0020345554986423444</x:v>
      </x:c>
      <x:c r="F12" s="42" t="n">
        <x:f>D12/Resumen!$B$8</x:f>
        <x:v>0.004827243740525848</x:v>
      </x:c>
    </x:row>
    <x:row r="13">
      <x:c r="A13" t="n">
        <x:v>12</x:v>
      </x:c>
      <x:c r="B13" t="str">
        <x:v>33</x:v>
      </x:c>
      <x:c r="C13" s="40" t="str">
        <x:v>HTTP Request Smuggling</x:v>
      </x:c>
      <x:c r="D13" s="38" t="n">
        <x:v>1059</x:v>
      </x:c>
      <x:c r="E13" s="42" t="n">
        <x:f>D13/Resumen!$B$6</x:f>
        <x:v>0.0011665372350093356</x:v>
      </x:c>
      <x:c r="F13" s="42" t="n">
        <x:f>D13/Resumen!$B$8</x:f>
        <x:v>0.0027677591343892114</x:v>
      </x:c>
    </x:row>
    <x:row r="14">
      <x:c r="A14" t="n">
        <x:v>13</x:v>
      </x:c>
      <x:c r="B14" t="str">
        <x:v>248</x:v>
      </x:c>
      <x:c r="C14" s="40" t="str">
        <x:v>Command Injection</x:v>
      </x:c>
      <x:c r="D14" s="38" t="n">
        <x:v>1</x:v>
      </x:c>
      <x:c r="E14" s="42" t="n">
        <x:f>D14/Resumen!$B$6</x:f>
        <x:v>0.0000011015460198388438</x:v>
      </x:c>
      <x:c r="F14" s="42" t="n">
        <x:f>D14/Resumen!$B$8</x:f>
        <x:v>0.0000026135591448434478</x:v>
      </x:c>
    </x:row>
  </x:sheetData>
  <x:conditionalFormatting sqref="D2:D14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{322D9877-CE90-AD83-FE2D-15C5056780C1}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63903af07aa4769"/>
  <x:tableParts count="1">
    <x:tablePart xmlns:r="http://schemas.openxmlformats.org/officeDocument/2006/relationships" r:id="Rf198a212dc8a4c9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22D9877-CE90-AD83-FE2D-15C5056780C1}">
            <x14:dataBar gradient="1">
              <x14:cfvo type="min"/>
              <x14:cfvo type="max"/>
              <x14:fillColor rgb="FF0F766E"/>
            </x14:dataBar>
          </x14:cfRule>
          <xm:sqref>D2:D14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4" hidden="0" customWidth="1"/>
    <x:col min="4" max="4" width="26" hidden="0" customWidth="1"/>
    <x:col min="5" max="5" width="12" hidden="0" customWidth="1"/>
    <x:col min="6" max="6" width="20" hidden="0" customWidth="1"/>
    <x:col min="7" max="7" width="38" hidden="0" customWidth="1"/>
  </x:cols>
  <x:sheetData>
    <x:row r="1" ht="28" customHeight="1">
      <x:c r="A1" s="49" t="str">
        <x:v>Rank</x:v>
      </x:c>
      <x:c r="B1" s="49" t="str">
        <x:v>Ataque A</x:v>
      </x:c>
      <x:c r="C1" s="49" t="str">
        <x:v>Ataque B</x:v>
      </x:c>
      <x:c r="D1" s="49" t="str">
        <x:v>Requests que contienen ambos</x:v>
      </x:c>
      <x:c r="E1" s="49" t="str">
        <x:v>% total</x:v>
      </x:c>
      <x:c r="F1" s="49" t="str">
        <x:v>% requests con ataque</x:v>
      </x:c>
      <x:c r="G1" s="49" t="str">
        <x:v>Nota</x:v>
      </x:c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n">
        <x:v>1</x:v>
      </x:c>
      <x:c r="B2" s="40" t="str">
        <x:v>88 - OS Command Injection</x:v>
      </x:c>
      <x:c r="C2" s="40" t="str">
        <x:v>126 - Path Traversal</x:v>
      </x:c>
      <x:c r="D2" s="38" t="n">
        <x:v>2944</x:v>
      </x:c>
      <x:c r="E2" s="42" t="n">
        <x:f>D2/Resumen!$B$6</x:f>
        <x:v>0.003242951482405556</x:v>
      </x:c>
      <x:c r="F2" s="42" t="n">
        <x:f>D2/Resumen!$B$8</x:f>
        <x:v>0.007694318122419111</x:v>
      </x:c>
      <x:c r="G2" t="str">
        <x:v>Co-ocurrencia; puede haber otros ataques en el mismo request</x:v>
      </x:c>
    </x:row>
    <x:row r="3">
      <x:c r="A3" t="n">
        <x:v>2</x:v>
      </x:c>
      <x:c r="B3" s="40" t="str">
        <x:v>272 - Protocol Manipulation</x:v>
      </x:c>
      <x:c r="C3" s="40" t="str">
        <x:v>274 - HTTP Verb Tampering</x:v>
      </x:c>
      <x:c r="D3" s="38" t="n">
        <x:v>1373</x:v>
      </x:c>
      <x:c r="E3" s="42" t="n">
        <x:f>D3/Resumen!$B$6</x:f>
        <x:v>0.0015124226852387325</x:v>
      </x:c>
      <x:c r="F3" s="42" t="n">
        <x:f>D3/Resumen!$B$8</x:f>
        <x:v>0.003588416705870054</x:v>
      </x:c>
      <x:c r="G3" t="str">
        <x:v>Co-ocurrencia; puede haber otros ataques en el mismo request</x:v>
      </x:c>
    </x:row>
    <x:row r="4">
      <x:c r="A4" t="n">
        <x:v>3</x:v>
      </x:c>
      <x:c r="B4" s="40" t="str">
        <x:v>242 - Code Injection</x:v>
      </x:c>
      <x:c r="C4" s="40" t="str">
        <x:v>88 - OS Command Injection</x:v>
      </x:c>
      <x:c r="D4" s="38" t="n">
        <x:v>1297</x:v>
      </x:c>
      <x:c r="E4" s="42" t="n">
        <x:f>D4/Resumen!$B$6</x:f>
        <x:v>0.0014287051877309804</x:v>
      </x:c>
      <x:c r="F4" s="42" t="n">
        <x:f>D4/Resumen!$B$8</x:f>
        <x:v>0.0033897862108619517</x:v>
      </x:c>
      <x:c r="G4" t="str">
        <x:v>Co-ocurrencia; puede haber otros ataques en el mismo request</x:v>
      </x:c>
    </x:row>
    <x:row r="5">
      <x:c r="A5" t="n">
        <x:v>4</x:v>
      </x:c>
      <x:c r="B5" s="40" t="str">
        <x:v>242 - Code Injection</x:v>
      </x:c>
      <x:c r="C5" s="40" t="str">
        <x:v>66 - SQL Injection</x:v>
      </x:c>
      <x:c r="D5" s="38" t="n">
        <x:v>692</x:v>
      </x:c>
      <x:c r="E5" s="42" t="n">
        <x:f>D5/Resumen!$B$6</x:f>
        <x:v>0.00076226984572848</x:v>
      </x:c>
      <x:c r="F5" s="42" t="n">
        <x:f>D5/Resumen!$B$8</x:f>
        <x:v>0.0018085829282316658</x:v>
      </x:c>
      <x:c r="G5" t="str">
        <x:v>Co-ocurrencia; puede haber otros ataques en el mismo request</x:v>
      </x:c>
    </x:row>
    <x:row r="6">
      <x:c r="A6" t="n">
        <x:v>5</x:v>
      </x:c>
      <x:c r="B6" s="40" t="str">
        <x:v>66 - SQL Injection</x:v>
      </x:c>
      <x:c r="C6" s="40" t="str">
        <x:v>153 - Input Data Manipulation</x:v>
      </x:c>
      <x:c r="D6" s="38" t="n">
        <x:v>650</x:v>
      </x:c>
      <x:c r="E6" s="42" t="n">
        <x:f>D6/Resumen!$B$6</x:f>
        <x:v>0.0007160049128952484</x:v>
      </x:c>
      <x:c r="F6" s="42" t="n">
        <x:f>D6/Resumen!$B$8</x:f>
        <x:v>0.0016988134441482412</x:v>
      </x:c>
      <x:c r="G6" t="str">
        <x:v>Co-ocurrencia; puede haber otros ataques en el mismo request</x:v>
      </x:c>
    </x:row>
    <x:row r="7">
      <x:c r="A7" t="n">
        <x:v>6</x:v>
      </x:c>
      <x:c r="B7" s="40" t="str">
        <x:v>34 - HTTP Response Splitting</x:v>
      </x:c>
      <x:c r="C7" s="40" t="str">
        <x:v>33 - HTTP Request Smuggling</x:v>
      </x:c>
      <x:c r="D7" s="38" t="n">
        <x:v>534</x:v>
      </x:c>
      <x:c r="E7" s="42" t="n">
        <x:f>D7/Resumen!$B$6</x:f>
        <x:v>0.0005882255745939426</x:v>
      </x:c>
      <x:c r="F7" s="42" t="n">
        <x:f>D7/Resumen!$B$8</x:f>
        <x:v>0.0013956405833464012</x:v>
      </x:c>
      <x:c r="G7" t="str">
        <x:v>Co-ocurrencia; puede haber otros ataques en el mismo request</x:v>
      </x:c>
    </x:row>
    <x:row r="8">
      <x:c r="A8" t="n">
        <x:v>7</x:v>
      </x:c>
      <x:c r="B8" s="40" t="str">
        <x:v>88 - OS Command Injection</x:v>
      </x:c>
      <x:c r="C8" s="40" t="str">
        <x:v>33 - HTTP Request Smuggling</x:v>
      </x:c>
      <x:c r="D8" s="38" t="n">
        <x:v>525</x:v>
      </x:c>
      <x:c r="E8" s="42" t="n">
        <x:f>D8/Resumen!$B$6</x:f>
        <x:v>0.000578311660415393</x:v>
      </x:c>
      <x:c r="F8" s="42" t="n">
        <x:f>D8/Resumen!$B$8</x:f>
        <x:v>0.0013721185510428102</x:v>
      </x:c>
      <x:c r="G8" t="str">
        <x:v>Co-ocurrencia; puede haber otros ataques en el mismo request</x:v>
      </x:c>
    </x:row>
    <x:row r="9">
      <x:c r="A9" t="n">
        <x:v>8</x:v>
      </x:c>
      <x:c r="B9" s="40" t="str">
        <x:v>242 - Code Injection</x:v>
      </x:c>
      <x:c r="C9" s="40" t="str">
        <x:v>33 - HTTP Request Smuggling</x:v>
      </x:c>
      <x:c r="D9" s="38" t="n">
        <x:v>513</x:v>
      </x:c>
      <x:c r="E9" s="42" t="n">
        <x:f>D9/Resumen!$B$6</x:f>
        <x:v>0.0005650931081773269</x:v>
      </x:c>
      <x:c r="F9" s="42" t="n">
        <x:f>D9/Resumen!$B$8</x:f>
        <x:v>0.0013407558413046888</x:v>
      </x:c>
      <x:c r="G9" t="str">
        <x:v>Co-ocurrencia; puede haber otros ataques en el mismo request</x:v>
      </x:c>
    </x:row>
    <x:row r="10">
      <x:c r="A10" t="n">
        <x:v>9</x:v>
      </x:c>
      <x:c r="B10" s="40" t="str">
        <x:v>66 - SQL Injection</x:v>
      </x:c>
      <x:c r="C10" s="40" t="str">
        <x:v>16 - Dictionary-based Password Attack</x:v>
      </x:c>
      <x:c r="D10" s="38" t="n">
        <x:v>421</x:v>
      </x:c>
      <x:c r="E10" s="42" t="n">
        <x:f>D10/Resumen!$B$6</x:f>
        <x:v>0.00046375087435215326</x:v>
      </x:c>
      <x:c r="F10" s="42" t="n">
        <x:f>D10/Resumen!$B$8</x:f>
        <x:v>0.0011003083999790914</x:v>
      </x:c>
      <x:c r="G10" t="str">
        <x:v>Co-ocurrencia; puede haber otros ataques en el mismo request</x:v>
      </x:c>
    </x:row>
    <x:row r="11">
      <x:c r="A11" t="n">
        <x:v>10</x:v>
      </x:c>
      <x:c r="B11" s="40" t="str">
        <x:v>126 - Path Traversal</x:v>
      </x:c>
      <x:c r="C11" s="40" t="str">
        <x:v>66 - SQL Injection</x:v>
      </x:c>
      <x:c r="D11" s="38" t="n">
        <x:v>393</x:v>
      </x:c>
      <x:c r="E11" s="42" t="n">
        <x:f>D11/Resumen!$B$6</x:f>
        <x:v>0.00043290758579666563</x:v>
      </x:c>
      <x:c r="F11" s="42" t="n">
        <x:f>D11/Resumen!$B$8</x:f>
        <x:v>0.0010271287439234749</x:v>
      </x:c>
      <x:c r="G11" t="str">
        <x:v>Co-ocurrencia; puede haber otros ataques en el mismo request</x:v>
      </x:c>
    </x:row>
    <x:row r="12">
      <x:c r="A12" t="n">
        <x:v>11</x:v>
      </x:c>
      <x:c r="B12" s="40" t="str">
        <x:v>88 - OS Command Injection</x:v>
      </x:c>
      <x:c r="C12" s="40" t="str">
        <x:v>66 - SQL Injection</x:v>
      </x:c>
      <x:c r="D12" s="38" t="n">
        <x:v>392</x:v>
      </x:c>
      <x:c r="E12" s="42" t="n">
        <x:f>D12/Resumen!$B$6</x:f>
        <x:v>0.00043180603977682676</x:v>
      </x:c>
      <x:c r="F12" s="42" t="n">
        <x:f>D12/Resumen!$B$8</x:f>
        <x:v>0.0010245151847786316</x:v>
      </x:c>
      <x:c r="G12" t="str">
        <x:v>Co-ocurrencia; puede haber otros ataques en el mismo request</x:v>
      </x:c>
    </x:row>
    <x:row r="13">
      <x:c r="A13" t="n">
        <x:v>12</x:v>
      </x:c>
      <x:c r="B13" s="40" t="str">
        <x:v>272 - Protocol Manipulation</x:v>
      </x:c>
      <x:c r="C13" s="40" t="str">
        <x:v>126 - Path Traversal</x:v>
      </x:c>
      <x:c r="D13" s="38" t="n">
        <x:v>289</x:v>
      </x:c>
      <x:c r="E13" s="42" t="n">
        <x:f>D13/Resumen!$B$6</x:f>
        <x:v>0.00031834679973342586</x:v>
      </x:c>
      <x:c r="F13" s="42" t="n">
        <x:f>D13/Resumen!$B$8</x:f>
        <x:v>0.0007553185928597565</x:v>
      </x:c>
      <x:c r="G13" t="str">
        <x:v>Co-ocurrencia; puede haber otros ataques en el mismo request</x:v>
      </x:c>
    </x:row>
    <x:row r="14">
      <x:c r="A14" t="n">
        <x:v>13</x:v>
      </x:c>
      <x:c r="B14" s="40" t="str">
        <x:v>272 - Protocol Manipulation</x:v>
      </x:c>
      <x:c r="C14" s="40" t="str">
        <x:v>310 - Scanning for Vulnerable Software</x:v>
      </x:c>
      <x:c r="D14" s="38" t="n">
        <x:v>276</x:v>
      </x:c>
      <x:c r="E14" s="42" t="n">
        <x:f>D14/Resumen!$B$6</x:f>
        <x:v>0.0003040267014755209</x:v>
      </x:c>
      <x:c r="F14" s="42" t="n">
        <x:f>D14/Resumen!$B$8</x:f>
        <x:v>0.0007213423239767916</x:v>
      </x:c>
      <x:c r="G14" t="str">
        <x:v>Co-ocurrencia; puede haber otros ataques en el mismo request</x:v>
      </x:c>
    </x:row>
    <x:row r="15">
      <x:c r="A15" t="n">
        <x:v>14</x:v>
      </x:c>
      <x:c r="B15" s="40" t="str">
        <x:v>88 - OS Command Injection</x:v>
      </x:c>
      <x:c r="C15" s="40" t="str">
        <x:v>16 - Dictionary-based Password Attack</x:v>
      </x:c>
      <x:c r="D15" s="38" t="n">
        <x:v>210</x:v>
      </x:c>
      <x:c r="E15" s="42" t="n">
        <x:f>D15/Resumen!$B$6</x:f>
        <x:v>0.0002313246641661572</x:v>
      </x:c>
      <x:c r="F15" s="42" t="n">
        <x:f>D15/Resumen!$B$8</x:f>
        <x:v>0.0005488474204171241</x:v>
      </x:c>
      <x:c r="G15" t="str">
        <x:v>Co-ocurrencia; puede haber otros ataques en el mismo request</x:v>
      </x:c>
    </x:row>
    <x:row r="16">
      <x:c r="A16" t="n">
        <x:v>15</x:v>
      </x:c>
      <x:c r="B16" s="40" t="str">
        <x:v>16 - Dictionary-based Password Attack</x:v>
      </x:c>
      <x:c r="C16" s="40" t="str">
        <x:v>194 - Fake the Source of Data</x:v>
      </x:c>
      <x:c r="D16" s="38" t="n">
        <x:v>162</x:v>
      </x:c>
      <x:c r="E16" s="42" t="n">
        <x:f>D16/Resumen!$B$6</x:f>
        <x:v>0.0001784504552138927</x:v>
      </x:c>
      <x:c r="F16" s="42" t="n">
        <x:f>D16/Resumen!$B$8</x:f>
        <x:v>0.0004233965814646385</x:v>
      </x:c>
      <x:c r="G16" t="str">
        <x:v>Co-ocurrencia; puede haber otros ataques en el mismo request</x:v>
      </x:c>
    </x:row>
    <x:row r="17">
      <x:c r="A17" t="n">
        <x:v>16</x:v>
      </x:c>
      <x:c r="B17" s="40" t="str">
        <x:v>16 - Dictionary-based Password Attack</x:v>
      </x:c>
      <x:c r="C17" s="40" t="str">
        <x:v>153 - Input Data Manipulation</x:v>
      </x:c>
      <x:c r="D17" s="38" t="n">
        <x:v>132</x:v>
      </x:c>
      <x:c r="E17" s="42" t="n">
        <x:f>D17/Resumen!$B$6</x:f>
        <x:v>0.0001454040746187274</x:v>
      </x:c>
      <x:c r="F17" s="42" t="n">
        <x:f>D17/Resumen!$B$8</x:f>
        <x:v>0.0003449898071193351</x:v>
      </x:c>
      <x:c r="G17" t="str">
        <x:v>Co-ocurrencia; puede haber otros ataques en el mismo request</x:v>
      </x:c>
    </x:row>
    <x:row r="18">
      <x:c r="A18" t="n">
        <x:v>17</x:v>
      </x:c>
      <x:c r="B18" s="40" t="str">
        <x:v>126 - Path Traversal</x:v>
      </x:c>
      <x:c r="C18" s="40" t="str">
        <x:v>16 - Dictionary-based Password Attack</x:v>
      </x:c>
      <x:c r="D18" s="38" t="n">
        <x:v>130</x:v>
      </x:c>
      <x:c r="E18" s="42" t="n">
        <x:f>D18/Resumen!$B$6</x:f>
        <x:v>0.00014320098257904968</x:v>
      </x:c>
      <x:c r="F18" s="42" t="n">
        <x:f>D18/Resumen!$B$8</x:f>
        <x:v>0.00033976268882964823</x:v>
      </x:c>
      <x:c r="G18" t="str">
        <x:v>Co-ocurrencia; puede haber otros ataques en el mismo request</x:v>
      </x:c>
    </x:row>
    <x:row r="19">
      <x:c r="A19" t="n">
        <x:v>18</x:v>
      </x:c>
      <x:c r="B19" s="40" t="str">
        <x:v>272 - Protocol Manipulation</x:v>
      </x:c>
      <x:c r="C19" s="40" t="str">
        <x:v>66 - SQL Injection</x:v>
      </x:c>
      <x:c r="D19" s="38" t="n">
        <x:v>126</x:v>
      </x:c>
      <x:c r="E19" s="42" t="n">
        <x:f>D19/Resumen!$B$6</x:f>
        <x:v>0.00013879479849969432</x:v>
      </x:c>
      <x:c r="F19" s="42" t="n">
        <x:f>D19/Resumen!$B$8</x:f>
        <x:v>0.00032930845225027445</x:v>
      </x:c>
      <x:c r="G19" t="str">
        <x:v>Co-ocurrencia; puede haber otros ataques en el mismo request</x:v>
      </x:c>
    </x:row>
    <x:row r="20">
      <x:c r="A20" t="n">
        <x:v>19</x:v>
      </x:c>
      <x:c r="B20" s="40" t="str">
        <x:v>126 - Path Traversal</x:v>
      </x:c>
      <x:c r="C20" s="40" t="str">
        <x:v>153 - Input Data Manipulation</x:v>
      </x:c>
      <x:c r="D20" s="38" t="n">
        <x:v>114</x:v>
      </x:c>
      <x:c r="E20" s="42" t="n">
        <x:f>D20/Resumen!$B$6</x:f>
        <x:v>0.0001255762462616282</x:v>
      </x:c>
      <x:c r="F20" s="42" t="n">
        <x:f>D20/Resumen!$B$8</x:f>
        <x:v>0.00029794574251215303</x:v>
      </x:c>
      <x:c r="G20" t="str">
        <x:v>Co-ocurrencia; puede haber otros ataques en el mismo request</x:v>
      </x:c>
    </x:row>
    <x:row r="21">
      <x:c r="A21" t="n">
        <x:v>20</x:v>
      </x:c>
      <x:c r="B21" s="40" t="str">
        <x:v>242 - Code Injection</x:v>
      </x:c>
      <x:c r="C21" s="40" t="str">
        <x:v>16 - Dictionary-based Password Attack</x:v>
      </x:c>
      <x:c r="D21" s="38" t="n">
        <x:v>67</x:v>
      </x:c>
      <x:c r="E21" s="42" t="n">
        <x:f>D21/Resumen!$B$6</x:f>
        <x:v>0.00007380358332920254</x:v>
      </x:c>
      <x:c r="F21" s="42" t="n">
        <x:f>D21/Resumen!$B$8</x:f>
        <x:v>0.000175108462704511</x:v>
      </x:c>
      <x:c r="G21" t="str">
        <x:v>Co-ocurrencia; puede haber otros ataques en el mismo request</x:v>
      </x:c>
    </x:row>
    <x:row r="22">
      <x:c r="A22" t="n">
        <x:v>21</x:v>
      </x:c>
      <x:c r="B22" s="40" t="str">
        <x:v>16 - Dictionary-based Password Attack</x:v>
      </x:c>
      <x:c r="C22" s="40" t="str">
        <x:v>34 - HTTP Response Splitting</x:v>
      </x:c>
      <x:c r="D22" s="38" t="n">
        <x:v>50</x:v>
      </x:c>
      <x:c r="E22" s="42" t="n">
        <x:f>D22/Resumen!$B$6</x:f>
        <x:v>0.000055077300991942194</x:v>
      </x:c>
      <x:c r="F22" s="42" t="n">
        <x:f>D22/Resumen!$B$8</x:f>
        <x:v>0.00013067795724217238</x:v>
      </x:c>
      <x:c r="G22" t="str">
        <x:v>Co-ocurrencia; puede haber otros ataques en el mismo request</x:v>
      </x:c>
    </x:row>
    <x:row r="23">
      <x:c r="A23" t="n">
        <x:v>22</x:v>
      </x:c>
      <x:c r="B23" s="40" t="str">
        <x:v>126 - Path Traversal</x:v>
      </x:c>
      <x:c r="C23" s="40" t="str">
        <x:v>310 - Scanning for Vulnerable Software</x:v>
      </x:c>
      <x:c r="D23" s="38" t="n">
        <x:v>41</x:v>
      </x:c>
      <x:c r="E23" s="42" t="n">
        <x:f>D23/Resumen!$B$6</x:f>
        <x:v>0.0000451633868133926</x:v>
      </x:c>
      <x:c r="F23" s="42" t="n">
        <x:f>D23/Resumen!$B$8</x:f>
        <x:v>0.00010715592493858136</x:v>
      </x:c>
      <x:c r="G23" t="str">
        <x:v>Co-ocurrencia; puede haber otros ataques en el mismo request</x:v>
      </x:c>
    </x:row>
    <x:row r="24">
      <x:c r="A24" t="n">
        <x:v>23</x:v>
      </x:c>
      <x:c r="B24" s="40" t="str">
        <x:v>272 - Protocol Manipulation</x:v>
      </x:c>
      <x:c r="C24" s="40" t="str">
        <x:v>88 - OS Command Injection</x:v>
      </x:c>
      <x:c r="D24" s="38" t="n">
        <x:v>38</x:v>
      </x:c>
      <x:c r="E24" s="42" t="n">
        <x:f>D24/Resumen!$B$6</x:f>
        <x:v>0.000041858748753876065</x:v>
      </x:c>
      <x:c r="F24" s="42" t="n">
        <x:f>D24/Resumen!$B$8</x:f>
        <x:v>0.00009931524750405102</x:v>
      </x:c>
      <x:c r="G24" t="str">
        <x:v>Co-ocurrencia; puede haber otros ataques en el mismo request</x:v>
      </x:c>
    </x:row>
    <x:row r="25">
      <x:c r="A25" t="n">
        <x:v>24</x:v>
      </x:c>
      <x:c r="B25" s="40" t="str">
        <x:v>88 - OS Command Injection</x:v>
      </x:c>
      <x:c r="C25" s="40" t="str">
        <x:v>153 - Input Data Manipulation</x:v>
      </x:c>
      <x:c r="D25" s="38" t="n">
        <x:v>34</x:v>
      </x:c>
      <x:c r="E25" s="42" t="n">
        <x:f>D25/Resumen!$B$6</x:f>
        <x:v>0.00003745256467452069</x:v>
      </x:c>
      <x:c r="F25" s="42" t="n">
        <x:f>D25/Resumen!$B$8</x:f>
        <x:v>0.00008886101092467722</x:v>
      </x:c>
      <x:c r="G25" t="str">
        <x:v>Co-ocurrencia; puede haber otros ataques en el mismo request</x:v>
      </x:c>
    </x:row>
    <x:row r="26">
      <x:c r="A26" t="n">
        <x:v>25</x:v>
      </x:c>
      <x:c r="B26" s="40" t="str">
        <x:v>272 - Protocol Manipulation</x:v>
      </x:c>
      <x:c r="C26" s="40" t="str">
        <x:v>16 - Dictionary-based Password Attack</x:v>
      </x:c>
      <x:c r="D26" s="38" t="n">
        <x:v>22</x:v>
      </x:c>
      <x:c r="E26" s="42" t="n">
        <x:f>D26/Resumen!$B$6</x:f>
        <x:v>0.000024234012436454565</x:v>
      </x:c>
      <x:c r="F26" s="42" t="n">
        <x:f>D26/Resumen!$B$8</x:f>
        <x:v>0.00005749830118655585</x:v>
      </x:c>
      <x:c r="G26" t="str">
        <x:v>Co-ocurrencia; puede haber otros ataques en el mismo request</x:v>
      </x:c>
    </x:row>
    <x:row r="27">
      <x:c r="A27" t="n">
        <x:v>26</x:v>
      </x:c>
      <x:c r="B27" s="40" t="str">
        <x:v>272 - Protocol Manipulation</x:v>
      </x:c>
      <x:c r="C27" s="40" t="str">
        <x:v>242 - Code Injection</x:v>
      </x:c>
      <x:c r="D27" s="38" t="n">
        <x:v>22</x:v>
      </x:c>
      <x:c r="E27" s="42" t="n">
        <x:f>D27/Resumen!$B$6</x:f>
        <x:v>0.000024234012436454565</x:v>
      </x:c>
      <x:c r="F27" s="42" t="n">
        <x:f>D27/Resumen!$B$8</x:f>
        <x:v>0.00005749830118655585</x:v>
      </x:c>
      <x:c r="G27" t="str">
        <x:v>Co-ocurrencia; puede haber otros ataques en el mismo request</x:v>
      </x:c>
    </x:row>
    <x:row r="28">
      <x:c r="A28" t="n">
        <x:v>27</x:v>
      </x:c>
      <x:c r="B28" s="40" t="str">
        <x:v>272 - Protocol Manipulation</x:v>
      </x:c>
      <x:c r="C28" s="40" t="str">
        <x:v>34 - HTTP Response Splitting</x:v>
      </x:c>
      <x:c r="D28" s="38" t="n">
        <x:v>20</x:v>
      </x:c>
      <x:c r="E28" s="42" t="n">
        <x:f>D28/Resumen!$B$6</x:f>
        <x:v>0.000022030920396776878</x:v>
      </x:c>
      <x:c r="F28" s="42" t="n">
        <x:f>D28/Resumen!$B$8</x:f>
        <x:v>0.00005227118289686896</x:v>
      </x:c>
      <x:c r="G28" t="str">
        <x:v>Co-ocurrencia; puede haber otros ataques en el mismo request</x:v>
      </x:c>
    </x:row>
    <x:row r="29">
      <x:c r="A29" t="n">
        <x:v>28</x:v>
      </x:c>
      <x:c r="B29" s="40" t="str">
        <x:v>16 - Dictionary-based Password Attack</x:v>
      </x:c>
      <x:c r="C29" s="40" t="str">
        <x:v>274 - HTTP Verb Tampering</x:v>
      </x:c>
      <x:c r="D29" s="38" t="n">
        <x:v>9</x:v>
      </x:c>
      <x:c r="E29" s="42" t="n">
        <x:f>D29/Resumen!$B$6</x:f>
        <x:v>0.000009913914178549594</x:v>
      </x:c>
      <x:c r="F29" s="42" t="n">
        <x:f>D29/Resumen!$B$8</x:f>
        <x:v>0.000023522032303591032</x:v>
      </x:c>
      <x:c r="G29" t="str">
        <x:v>Co-ocurrencia; puede haber otros ataques en el mismo request</x:v>
      </x:c>
    </x:row>
    <x:row r="30">
      <x:c r="A30" t="n">
        <x:v>29</x:v>
      </x:c>
      <x:c r="B30" s="40" t="str">
        <x:v>126 - Path Traversal</x:v>
      </x:c>
      <x:c r="C30" s="40" t="str">
        <x:v>33 - HTTP Request Smuggling</x:v>
      </x:c>
      <x:c r="D30" s="38" t="n">
        <x:v>6</x:v>
      </x:c>
      <x:c r="E30" s="42" t="n">
        <x:f>D30/Resumen!$B$6</x:f>
        <x:v>0.000006609276119033063</x:v>
      </x:c>
      <x:c r="F30" s="42" t="n">
        <x:f>D30/Resumen!$B$8</x:f>
        <x:v>0.000015681354869060686</x:v>
      </x:c>
      <x:c r="G30" t="str">
        <x:v>Co-ocurrencia; puede haber otros ataques en el mismo request</x:v>
      </x:c>
    </x:row>
    <x:row r="31">
      <x:c r="A31" t="n">
        <x:v>30</x:v>
      </x:c>
      <x:c r="B31" s="40" t="str">
        <x:v>66 - SQL Injection</x:v>
      </x:c>
      <x:c r="C31" s="40" t="str">
        <x:v>310 - Scanning for Vulnerable Software</x:v>
      </x:c>
      <x:c r="D31" s="38" t="n">
        <x:v>5</x:v>
      </x:c>
      <x:c r="E31" s="42" t="n">
        <x:f>D31/Resumen!$B$6</x:f>
        <x:v>0.000005507730099194219</x:v>
      </x:c>
      <x:c r="F31" s="42" t="n">
        <x:f>D31/Resumen!$B$8</x:f>
        <x:v>0.00001306779572421724</x:v>
      </x:c>
      <x:c r="G31" t="str">
        <x:v>Co-ocurrencia; puede haber otros ataques en el mismo request</x:v>
      </x:c>
    </x:row>
    <x:row r="32">
      <x:c r="A32" t="n">
        <x:v>31</x:v>
      </x:c>
      <x:c r="B32" s="40" t="str">
        <x:v>88 - OS Command Injection</x:v>
      </x:c>
      <x:c r="C32" s="40" t="str">
        <x:v>310 - Scanning for Vulnerable Software</x:v>
      </x:c>
      <x:c r="D32" s="38" t="n">
        <x:v>5</x:v>
      </x:c>
      <x:c r="E32" s="42" t="n">
        <x:f>D32/Resumen!$B$6</x:f>
        <x:v>0.000005507730099194219</x:v>
      </x:c>
      <x:c r="F32" s="42" t="n">
        <x:f>D32/Resumen!$B$8</x:f>
        <x:v>0.00001306779572421724</x:v>
      </x:c>
      <x:c r="G32" t="str">
        <x:v>Co-ocurrencia; puede haber otros ataques en el mismo request</x:v>
      </x:c>
    </x:row>
    <x:row r="33">
      <x:c r="A33" t="n">
        <x:v>32</x:v>
      </x:c>
      <x:c r="B33" s="40" t="str">
        <x:v>242 - Code Injection</x:v>
      </x:c>
      <x:c r="C33" s="40" t="str">
        <x:v>310 - Scanning for Vulnerable Software</x:v>
      </x:c>
      <x:c r="D33" s="38" t="n">
        <x:v>3</x:v>
      </x:c>
      <x:c r="E33" s="42" t="n">
        <x:f>D33/Resumen!$B$6</x:f>
        <x:v>0.0000033046380595165315</x:v>
      </x:c>
      <x:c r="F33" s="42" t="n">
        <x:f>D33/Resumen!$B$8</x:f>
        <x:v>0.000007840677434530343</x:v>
      </x:c>
      <x:c r="G33" t="str">
        <x:v>Co-ocurrencia; puede haber otros ataques en el mismo request</x:v>
      </x:c>
    </x:row>
    <x:row r="34">
      <x:c r="A34" t="n">
        <x:v>33</x:v>
      </x:c>
      <x:c r="B34" s="40" t="str">
        <x:v>272 - Protocol Manipulation</x:v>
      </x:c>
      <x:c r="C34" s="40" t="str">
        <x:v>33 - HTTP Request Smuggling</x:v>
      </x:c>
      <x:c r="D34" s="38" t="n">
        <x:v>3</x:v>
      </x:c>
      <x:c r="E34" s="42" t="n">
        <x:f>D34/Resumen!$B$6</x:f>
        <x:v>0.0000033046380595165315</x:v>
      </x:c>
      <x:c r="F34" s="42" t="n">
        <x:f>D34/Resumen!$B$8</x:f>
        <x:v>0.000007840677434530343</x:v>
      </x:c>
      <x:c r="G34" t="str">
        <x:v>Co-ocurrencia; puede haber otros ataques en el mismo request</x:v>
      </x:c>
    </x:row>
    <x:row r="35">
      <x:c r="A35" t="n">
        <x:v>34</x:v>
      </x:c>
      <x:c r="B35" s="40" t="str">
        <x:v>66 - SQL Injection</x:v>
      </x:c>
      <x:c r="C35" s="40" t="str">
        <x:v>274 - HTTP Verb Tampering</x:v>
      </x:c>
      <x:c r="D35" s="38" t="n">
        <x:v>2</x:v>
      </x:c>
      <x:c r="E35" s="42" t="n">
        <x:f>D35/Resumen!$B$6</x:f>
        <x:v>0.0000022030920396776875</x:v>
      </x:c>
      <x:c r="F35" s="42" t="n">
        <x:f>D35/Resumen!$B$8</x:f>
        <x:v>0.0000052271182896868955</x:v>
      </x:c>
      <x:c r="G35" t="str">
        <x:v>Co-ocurrencia; puede haber otros ataques en el mismo request</x:v>
      </x:c>
    </x:row>
    <x:row r="36">
      <x:c r="A36" t="n">
        <x:v>35</x:v>
      </x:c>
      <x:c r="B36" s="40" t="str">
        <x:v>153 - Input Data Manipulation</x:v>
      </x:c>
      <x:c r="C36" s="40" t="str">
        <x:v>248 - Command Injection</x:v>
      </x:c>
      <x:c r="D36" s="38" t="n">
        <x:v>1</x:v>
      </x:c>
      <x:c r="E36" s="42" t="n">
        <x:f>D36/Resumen!$B$6</x:f>
        <x:v>0.0000011015460198388438</x:v>
      </x:c>
      <x:c r="F36" s="42" t="n">
        <x:f>D36/Resumen!$B$8</x:f>
        <x:v>0.0000026135591448434478</x:v>
      </x:c>
      <x:c r="G36" t="str">
        <x:v>Co-ocurrencia; puede haber otros ataques en el mismo request</x:v>
      </x:c>
    </x:row>
    <x:row r="37">
      <x:c r="A37" t="n">
        <x:v>36</x:v>
      </x:c>
      <x:c r="B37" s="40" t="str">
        <x:v>310 - Scanning for Vulnerable Software</x:v>
      </x:c>
      <x:c r="C37" s="40" t="str">
        <x:v>153 - Input Data Manipulation</x:v>
      </x:c>
      <x:c r="D37" s="38" t="n">
        <x:v>1</x:v>
      </x:c>
      <x:c r="E37" s="42" t="n">
        <x:f>D37/Resumen!$B$6</x:f>
        <x:v>0.0000011015460198388438</x:v>
      </x:c>
      <x:c r="F37" s="42" t="n">
        <x:f>D37/Resumen!$B$8</x:f>
        <x:v>0.0000026135591448434478</x:v>
      </x:c>
      <x:c r="G37" t="str">
        <x:v>Co-ocurrencia; puede haber otros ataques en el mismo request</x:v>
      </x:c>
    </x:row>
    <x:row r="38">
      <x:c r="A38" t="n">
        <x:v>37</x:v>
      </x:c>
      <x:c r="B38" s="40" t="str">
        <x:v>310 - Scanning for Vulnerable Software</x:v>
      </x:c>
      <x:c r="C38" s="40" t="str">
        <x:v>248 - Command Injection</x:v>
      </x:c>
      <x:c r="D38" s="38" t="n">
        <x:v>1</x:v>
      </x:c>
      <x:c r="E38" s="42" t="n">
        <x:f>D38/Resumen!$B$6</x:f>
        <x:v>0.0000011015460198388438</x:v>
      </x:c>
      <x:c r="F38" s="42" t="n">
        <x:f>D38/Resumen!$B$8</x:f>
        <x:v>0.0000026135591448434478</x:v>
      </x:c>
      <x:c r="G38" t="str">
        <x:v>Co-ocurrencia; puede haber otros ataques en el mismo request</x:v>
      </x:c>
    </x:row>
    <x:row r="39">
      <x:c r="A39" t="n">
        <x:v>38</x:v>
      </x:c>
      <x:c r="B39" s="40" t="str">
        <x:v>310 - Scanning for Vulnerable Software</x:v>
      </x:c>
      <x:c r="C39" s="40" t="str">
        <x:v>274 - HTTP Verb Tampering</x:v>
      </x:c>
      <x:c r="D39" s="38" t="n">
        <x:v>1</x:v>
      </x:c>
      <x:c r="E39" s="42" t="n">
        <x:f>D39/Resumen!$B$6</x:f>
        <x:v>0.0000011015460198388438</x:v>
      </x:c>
      <x:c r="F39" s="42" t="n">
        <x:f>D39/Resumen!$B$8</x:f>
        <x:v>0.0000026135591448434478</x:v>
      </x:c>
      <x:c r="G39" t="str">
        <x:v>Co-ocurrencia; puede haber otros ataques en el mismo request</x:v>
      </x:c>
    </x:row>
  </x:sheetData>
  <x:pageMargins left="0.7" right="0.7" top="0.75" bottom="0.75" header="0.3" footer="0.3"/>
  <x:tableParts count="1">
    <x:tablePart xmlns:r="http://schemas.openxmlformats.org/officeDocument/2006/relationships" r:id="R8be8f93473c242a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4" hidden="0" customWidth="1"/>
    <x:col min="4" max="4" width="34" hidden="0" customWidth="1"/>
    <x:col min="5" max="5" width="26" hidden="0" customWidth="1"/>
    <x:col min="6" max="6" width="12" hidden="0" customWidth="1"/>
    <x:col min="7" max="7" width="20" hidden="0" customWidth="1"/>
    <x:col min="8" max="8" width="38" hidden="0" customWidth="1"/>
  </x:cols>
  <x:sheetData>
    <x:row r="1" ht="28" customHeight="1">
      <x:c r="A1" s="49" t="str">
        <x:v>Rank</x:v>
      </x:c>
      <x:c r="B1" s="49" t="str">
        <x:v>Ataque A</x:v>
      </x:c>
      <x:c r="C1" s="49" t="str">
        <x:v>Ataque B</x:v>
      </x:c>
      <x:c r="D1" s="49" t="str">
        <x:v>Ataque C</x:v>
      </x:c>
      <x:c r="E1" s="49" t="str">
        <x:v>Requests que contienen los tres</x:v>
      </x:c>
      <x:c r="F1" s="49" t="str">
        <x:v>% total</x:v>
      </x:c>
      <x:c r="G1" s="49" t="str">
        <x:v>% requests con ataque</x:v>
      </x:c>
      <x:c r="H1" s="49" t="str">
        <x:v>Nota</x:v>
      </x:c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n">
        <x:v>1</x:v>
      </x:c>
      <x:c r="B2" s="40" t="str">
        <x:v>242 - Code Injection</x:v>
      </x:c>
      <x:c r="C2" s="40" t="str">
        <x:v>88 - OS Command Injection</x:v>
      </x:c>
      <x:c r="D2" s="40" t="str">
        <x:v>33 - HTTP Request Smuggling</x:v>
      </x:c>
      <x:c r="E2" s="38" t="n">
        <x:v>513</x:v>
      </x:c>
      <x:c r="F2" s="42" t="n">
        <x:f>E2/Resumen!$B$6</x:f>
        <x:v>0.0005650931081773269</x:v>
      </x:c>
      <x:c r="G2" s="42" t="n">
        <x:f>E2/Resumen!$B$8</x:f>
        <x:v>0.0013407558413046888</x:v>
      </x:c>
      <x:c r="H2" t="str">
        <x:v>Co-ocurrencia; puede haber otros ataques en el mismo request</x:v>
      </x:c>
    </x:row>
    <x:row r="3">
      <x:c r="A3" t="n">
        <x:v>2</x:v>
      </x:c>
      <x:c r="B3" s="40" t="str">
        <x:v>88 - OS Command Injection</x:v>
      </x:c>
      <x:c r="C3" s="40" t="str">
        <x:v>126 - Path Traversal</x:v>
      </x:c>
      <x:c r="D3" s="40" t="str">
        <x:v>66 - SQL Injection</x:v>
      </x:c>
      <x:c r="E3" s="38" t="n">
        <x:v>392</x:v>
      </x:c>
      <x:c r="F3" s="42" t="n">
        <x:f>E3/Resumen!$B$6</x:f>
        <x:v>0.00043180603977682676</x:v>
      </x:c>
      <x:c r="G3" s="42" t="n">
        <x:f>E3/Resumen!$B$8</x:f>
        <x:v>0.0010245151847786316</x:v>
      </x:c>
      <x:c r="H3" t="str">
        <x:v>Co-ocurrencia; puede haber otros ataques en el mismo request</x:v>
      </x:c>
    </x:row>
    <x:row r="4">
      <x:c r="A4" t="n">
        <x:v>3</x:v>
      </x:c>
      <x:c r="B4" s="40" t="str">
        <x:v>88 - OS Command Injection</x:v>
      </x:c>
      <x:c r="C4" s="40" t="str">
        <x:v>126 - Path Traversal</x:v>
      </x:c>
      <x:c r="D4" s="40" t="str">
        <x:v>16 - Dictionary-based Password Attack</x:v>
      </x:c>
      <x:c r="E4" s="38" t="n">
        <x:v>90</x:v>
      </x:c>
      <x:c r="F4" s="42" t="n">
        <x:f>E4/Resumen!$B$6</x:f>
        <x:v>0.00009913914178549594</x:v>
      </x:c>
      <x:c r="G4" s="42" t="n">
        <x:f>E4/Resumen!$B$8</x:f>
        <x:v>0.0002352203230359103</x:v>
      </x:c>
      <x:c r="H4" t="str">
        <x:v>Co-ocurrencia; puede haber otros ataques en el mismo request</x:v>
      </x:c>
    </x:row>
    <x:row r="5">
      <x:c r="A5" t="n">
        <x:v>4</x:v>
      </x:c>
      <x:c r="B5" s="40" t="str">
        <x:v>66 - SQL Injection</x:v>
      </x:c>
      <x:c r="C5" s="40" t="str">
        <x:v>16 - Dictionary-based Password Attack</x:v>
      </x:c>
      <x:c r="D5" s="40" t="str">
        <x:v>153 - Input Data Manipulation</x:v>
      </x:c>
      <x:c r="E5" s="38" t="n">
        <x:v>38</x:v>
      </x:c>
      <x:c r="F5" s="42" t="n">
        <x:f>E5/Resumen!$B$6</x:f>
        <x:v>0.000041858748753876065</x:v>
      </x:c>
      <x:c r="G5" s="42" t="n">
        <x:f>E5/Resumen!$B$8</x:f>
        <x:v>0.00009931524750405102</x:v>
      </x:c>
      <x:c r="H5" t="str">
        <x:v>Co-ocurrencia; puede haber otros ataques en el mismo request</x:v>
      </x:c>
    </x:row>
    <x:row r="6">
      <x:c r="A6" t="n">
        <x:v>5</x:v>
      </x:c>
      <x:c r="B6" s="40" t="str">
        <x:v>242 - Code Injection</x:v>
      </x:c>
      <x:c r="C6" s="40" t="str">
        <x:v>88 - OS Command Injection</x:v>
      </x:c>
      <x:c r="D6" s="40" t="str">
        <x:v>16 - Dictionary-based Password Attack</x:v>
      </x:c>
      <x:c r="E6" s="38" t="n">
        <x:v>24</x:v>
      </x:c>
      <x:c r="F6" s="42" t="n">
        <x:f>E6/Resumen!$B$6</x:f>
        <x:v>0.000026437104476132252</x:v>
      </x:c>
      <x:c r="G6" s="42" t="n">
        <x:f>E6/Resumen!$B$8</x:f>
        <x:v>0.00006272541947624274</x:v>
      </x:c>
      <x:c r="H6" t="str">
        <x:v>Co-ocurrencia; puede haber otros ataques en el mismo request</x:v>
      </x:c>
    </x:row>
    <x:row r="7">
      <x:c r="A7" t="n">
        <x:v>6</x:v>
      </x:c>
      <x:c r="B7" s="40" t="str">
        <x:v>272 - Protocol Manipulation</x:v>
      </x:c>
      <x:c r="C7" s="40" t="str">
        <x:v>126 - Path Traversal</x:v>
      </x:c>
      <x:c r="D7" s="40" t="str">
        <x:v>310 - Scanning for Vulnerable Software</x:v>
      </x:c>
      <x:c r="E7" s="38" t="n">
        <x:v>22</x:v>
      </x:c>
      <x:c r="F7" s="42" t="n">
        <x:f>E7/Resumen!$B$6</x:f>
        <x:v>0.000024234012436454565</x:v>
      </x:c>
      <x:c r="G7" s="42" t="n">
        <x:f>E7/Resumen!$B$8</x:f>
        <x:v>0.00005749830118655585</x:v>
      </x:c>
      <x:c r="H7" t="str">
        <x:v>Co-ocurrencia; puede haber otros ataques en el mismo request</x:v>
      </x:c>
    </x:row>
    <x:row r="8">
      <x:c r="A8" t="n">
        <x:v>7</x:v>
      </x:c>
      <x:c r="B8" s="40" t="str">
        <x:v>242 - Code Injection</x:v>
      </x:c>
      <x:c r="C8" s="40" t="str">
        <x:v>66 - SQL Injection</x:v>
      </x:c>
      <x:c r="D8" s="40" t="str">
        <x:v>16 - Dictionary-based Password Attack</x:v>
      </x:c>
      <x:c r="E8" s="38" t="n">
        <x:v>19</x:v>
      </x:c>
      <x:c r="F8" s="42" t="n">
        <x:f>E8/Resumen!$B$6</x:f>
        <x:v>0.000020929374376938032</x:v>
      </x:c>
      <x:c r="G8" s="42" t="n">
        <x:f>E8/Resumen!$B$8</x:f>
        <x:v>0.00004965762375202551</x:v>
      </x:c>
      <x:c r="H8" t="str">
        <x:v>Co-ocurrencia; puede haber otros ataques en el mismo request</x:v>
      </x:c>
    </x:row>
    <x:row r="9">
      <x:c r="A9" t="n">
        <x:v>8</x:v>
      </x:c>
      <x:c r="B9" s="40" t="str">
        <x:v>126 - Path Traversal</x:v>
      </x:c>
      <x:c r="C9" s="40" t="str">
        <x:v>66 - SQL Injection</x:v>
      </x:c>
      <x:c r="D9" s="40" t="str">
        <x:v>16 - Dictionary-based Password Attack</x:v>
      </x:c>
      <x:c r="E9" s="38" t="n">
        <x:v>12</x:v>
      </x:c>
      <x:c r="F9" s="42" t="n">
        <x:f>E9/Resumen!$B$6</x:f>
        <x:v>0.000013218552238066126</x:v>
      </x:c>
      <x:c r="G9" s="42" t="n">
        <x:f>E9/Resumen!$B$8</x:f>
        <x:v>0.00003136270973812137</x:v>
      </x:c>
      <x:c r="H9" t="str">
        <x:v>Co-ocurrencia; puede haber otros ataques en el mismo request</x:v>
      </x:c>
    </x:row>
    <x:row r="10">
      <x:c r="A10" t="n">
        <x:v>9</x:v>
      </x:c>
      <x:c r="B10" s="40" t="str">
        <x:v>88 - OS Command Injection</x:v>
      </x:c>
      <x:c r="C10" s="40" t="str">
        <x:v>66 - SQL Injection</x:v>
      </x:c>
      <x:c r="D10" s="40" t="str">
        <x:v>16 - Dictionary-based Password Attack</x:v>
      </x:c>
      <x:c r="E10" s="38" t="n">
        <x:v>12</x:v>
      </x:c>
      <x:c r="F10" s="42" t="n">
        <x:f>E10/Resumen!$B$6</x:f>
        <x:v>0.000013218552238066126</x:v>
      </x:c>
      <x:c r="G10" s="42" t="n">
        <x:f>E10/Resumen!$B$8</x:f>
        <x:v>0.00003136270973812137</x:v>
      </x:c>
      <x:c r="H10" t="str">
        <x:v>Co-ocurrencia; puede haber otros ataques en el mismo request</x:v>
      </x:c>
    </x:row>
    <x:row r="11">
      <x:c r="A11" t="n">
        <x:v>10</x:v>
      </x:c>
      <x:c r="B11" s="40" t="str">
        <x:v>126 - Path Traversal</x:v>
      </x:c>
      <x:c r="C11" s="40" t="str">
        <x:v>16 - Dictionary-based Password Attack</x:v>
      </x:c>
      <x:c r="D11" s="40" t="str">
        <x:v>153 - Input Data Manipulation</x:v>
      </x:c>
      <x:c r="E11" s="38" t="n">
        <x:v>6</x:v>
      </x:c>
      <x:c r="F11" s="42" t="n">
        <x:f>E11/Resumen!$B$6</x:f>
        <x:v>0.000006609276119033063</x:v>
      </x:c>
      <x:c r="G11" s="42" t="n">
        <x:f>E11/Resumen!$B$8</x:f>
        <x:v>0.000015681354869060686</x:v>
      </x:c>
      <x:c r="H11" t="str">
        <x:v>Co-ocurrencia; puede haber otros ataques en el mismo request</x:v>
      </x:c>
    </x:row>
    <x:row r="12">
      <x:c r="A12" t="n">
        <x:v>11</x:v>
      </x:c>
      <x:c r="B12" s="40" t="str">
        <x:v>88 - OS Command Injection</x:v>
      </x:c>
      <x:c r="C12" s="40" t="str">
        <x:v>126 - Path Traversal</x:v>
      </x:c>
      <x:c r="D12" s="40" t="str">
        <x:v>33 - HTTP Request Smuggling</x:v>
      </x:c>
      <x:c r="E12" s="38" t="n">
        <x:v>6</x:v>
      </x:c>
      <x:c r="F12" s="42" t="n">
        <x:f>E12/Resumen!$B$6</x:f>
        <x:v>0.000006609276119033063</x:v>
      </x:c>
      <x:c r="G12" s="42" t="n">
        <x:f>E12/Resumen!$B$8</x:f>
        <x:v>0.000015681354869060686</x:v>
      </x:c>
      <x:c r="H12" t="str">
        <x:v>Co-ocurrencia; puede haber otros ataques en el mismo request</x:v>
      </x:c>
    </x:row>
    <x:row r="13">
      <x:c r="A13" t="n">
        <x:v>12</x:v>
      </x:c>
      <x:c r="B13" s="40" t="str">
        <x:v>88 - OS Command Injection</x:v>
      </x:c>
      <x:c r="C13" s="40" t="str">
        <x:v>126 - Path Traversal</x:v>
      </x:c>
      <x:c r="D13" s="40" t="str">
        <x:v>310 - Scanning for Vulnerable Software</x:v>
      </x:c>
      <x:c r="E13" s="38" t="n">
        <x:v>4</x:v>
      </x:c>
      <x:c r="F13" s="42" t="n">
        <x:f>E13/Resumen!$B$6</x:f>
        <x:v>0.000004406184079355375</x:v>
      </x:c>
      <x:c r="G13" s="42" t="n">
        <x:f>E13/Resumen!$B$8</x:f>
        <x:v>0.000010454236579373791</x:v>
      </x:c>
      <x:c r="H13" t="str">
        <x:v>Co-ocurrencia; puede haber otros ataques en el mismo request</x:v>
      </x:c>
    </x:row>
    <x:row r="14">
      <x:c r="A14" t="n">
        <x:v>13</x:v>
      </x:c>
      <x:c r="B14" s="40" t="str">
        <x:v>272 - Protocol Manipulation</x:v>
      </x:c>
      <x:c r="C14" s="40" t="str">
        <x:v>242 - Code Injection</x:v>
      </x:c>
      <x:c r="D14" s="40" t="str">
        <x:v>33 - HTTP Request Smuggling</x:v>
      </x:c>
      <x:c r="E14" s="38" t="n">
        <x:v>3</x:v>
      </x:c>
      <x:c r="F14" s="42" t="n">
        <x:f>E14/Resumen!$B$6</x:f>
        <x:v>0.0000033046380595165315</x:v>
      </x:c>
      <x:c r="G14" s="42" t="n">
        <x:f>E14/Resumen!$B$8</x:f>
        <x:v>0.000007840677434530343</x:v>
      </x:c>
      <x:c r="H14" t="str">
        <x:v>Co-ocurrencia; puede haber otros ataques en el mismo request</x:v>
      </x:c>
    </x:row>
    <x:row r="15">
      <x:c r="A15" t="n">
        <x:v>14</x:v>
      </x:c>
      <x:c r="B15" s="40" t="str">
        <x:v>272 - Protocol Manipulation</x:v>
      </x:c>
      <x:c r="C15" s="40" t="str">
        <x:v>242 - Code Injection</x:v>
      </x:c>
      <x:c r="D15" s="40" t="str">
        <x:v>88 - OS Command Injection</x:v>
      </x:c>
      <x:c r="E15" s="38" t="n">
        <x:v>3</x:v>
      </x:c>
      <x:c r="F15" s="42" t="n">
        <x:f>E15/Resumen!$B$6</x:f>
        <x:v>0.0000033046380595165315</x:v>
      </x:c>
      <x:c r="G15" s="42" t="n">
        <x:f>E15/Resumen!$B$8</x:f>
        <x:v>0.000007840677434530343</x:v>
      </x:c>
      <x:c r="H15" t="str">
        <x:v>Co-ocurrencia; puede haber otros ataques en el mismo request</x:v>
      </x:c>
    </x:row>
    <x:row r="16">
      <x:c r="A16" t="n">
        <x:v>15</x:v>
      </x:c>
      <x:c r="B16" s="40" t="str">
        <x:v>272 - Protocol Manipulation</x:v>
      </x:c>
      <x:c r="C16" s="40" t="str">
        <x:v>88 - OS Command Injection</x:v>
      </x:c>
      <x:c r="D16" s="40" t="str">
        <x:v>126 - Path Traversal</x:v>
      </x:c>
      <x:c r="E16" s="38" t="n">
        <x:v>3</x:v>
      </x:c>
      <x:c r="F16" s="42" t="n">
        <x:f>E16/Resumen!$B$6</x:f>
        <x:v>0.0000033046380595165315</x:v>
      </x:c>
      <x:c r="G16" s="42" t="n">
        <x:f>E16/Resumen!$B$8</x:f>
        <x:v>0.000007840677434530343</x:v>
      </x:c>
      <x:c r="H16" t="str">
        <x:v>Co-ocurrencia; puede haber otros ataques en el mismo request</x:v>
      </x:c>
    </x:row>
    <x:row r="17">
      <x:c r="A17" t="n">
        <x:v>16</x:v>
      </x:c>
      <x:c r="B17" s="40" t="str">
        <x:v>272 - Protocol Manipulation</x:v>
      </x:c>
      <x:c r="C17" s="40" t="str">
        <x:v>88 - OS Command Injection</x:v>
      </x:c>
      <x:c r="D17" s="40" t="str">
        <x:v>310 - Scanning for Vulnerable Software</x:v>
      </x:c>
      <x:c r="E17" s="38" t="n">
        <x:v>3</x:v>
      </x:c>
      <x:c r="F17" s="42" t="n">
        <x:f>E17/Resumen!$B$6</x:f>
        <x:v>0.0000033046380595165315</x:v>
      </x:c>
      <x:c r="G17" s="42" t="n">
        <x:f>E17/Resumen!$B$8</x:f>
        <x:v>0.000007840677434530343</x:v>
      </x:c>
      <x:c r="H17" t="str">
        <x:v>Co-ocurrencia; puede haber otros ataques en el mismo request</x:v>
      </x:c>
    </x:row>
    <x:row r="18">
      <x:c r="A18" t="n">
        <x:v>17</x:v>
      </x:c>
      <x:c r="B18" s="40" t="str">
        <x:v>272 - Protocol Manipulation</x:v>
      </x:c>
      <x:c r="C18" s="40" t="str">
        <x:v>88 - OS Command Injection</x:v>
      </x:c>
      <x:c r="D18" s="40" t="str">
        <x:v>33 - HTTP Request Smuggling</x:v>
      </x:c>
      <x:c r="E18" s="38" t="n">
        <x:v>3</x:v>
      </x:c>
      <x:c r="F18" s="42" t="n">
        <x:f>E18/Resumen!$B$6</x:f>
        <x:v>0.0000033046380595165315</x:v>
      </x:c>
      <x:c r="G18" s="42" t="n">
        <x:f>E18/Resumen!$B$8</x:f>
        <x:v>0.000007840677434530343</x:v>
      </x:c>
      <x:c r="H18" t="str">
        <x:v>Co-ocurrencia; puede haber otros ataques en el mismo request</x:v>
      </x:c>
    </x:row>
    <x:row r="19">
      <x:c r="A19" t="n">
        <x:v>18</x:v>
      </x:c>
      <x:c r="B19" s="40" t="str">
        <x:v>272 - Protocol Manipulation</x:v>
      </x:c>
      <x:c r="C19" s="40" t="str">
        <x:v>66 - SQL Injection</x:v>
      </x:c>
      <x:c r="D19" s="40" t="str">
        <x:v>274 - HTTP Verb Tampering</x:v>
      </x:c>
      <x:c r="E19" s="38" t="n">
        <x:v>2</x:v>
      </x:c>
      <x:c r="F19" s="42" t="n">
        <x:f>E19/Resumen!$B$6</x:f>
        <x:v>0.0000022030920396776875</x:v>
      </x:c>
      <x:c r="G19" s="42" t="n">
        <x:f>E19/Resumen!$B$8</x:f>
        <x:v>0.0000052271182896868955</x:v>
      </x:c>
      <x:c r="H19" t="str">
        <x:v>Co-ocurrencia; puede haber otros ataques en el mismo request</x:v>
      </x:c>
    </x:row>
    <x:row r="20">
      <x:c r="A20" t="n">
        <x:v>19</x:v>
      </x:c>
      <x:c r="B20" s="40" t="str">
        <x:v>88 - OS Command Injection</x:v>
      </x:c>
      <x:c r="C20" s="40" t="str">
        <x:v>16 - Dictionary-based Password Attack</x:v>
      </x:c>
      <x:c r="D20" s="40" t="str">
        <x:v>153 - Input Data Manipulation</x:v>
      </x:c>
      <x:c r="E20" s="38" t="n">
        <x:v>2</x:v>
      </x:c>
      <x:c r="F20" s="42" t="n">
        <x:f>E20/Resumen!$B$6</x:f>
        <x:v>0.0000022030920396776875</x:v>
      </x:c>
      <x:c r="G20" s="42" t="n">
        <x:f>E20/Resumen!$B$8</x:f>
        <x:v>0.0000052271182896868955</x:v>
      </x:c>
      <x:c r="H20" t="str">
        <x:v>Co-ocurrencia; puede haber otros ataques en el mismo request</x:v>
      </x:c>
    </x:row>
    <x:row r="21">
      <x:c r="A21" t="n">
        <x:v>20</x:v>
      </x:c>
      <x:c r="B21" s="40" t="str">
        <x:v>272 - Protocol Manipulation</x:v>
      </x:c>
      <x:c r="C21" s="40" t="str">
        <x:v>16 - Dictionary-based Password Attack</x:v>
      </x:c>
      <x:c r="D21" s="40" t="str">
        <x:v>274 - HTTP Verb Tampering</x:v>
      </x:c>
      <x:c r="E21" s="38" t="n">
        <x:v>1</x:v>
      </x:c>
      <x:c r="F21" s="42" t="n">
        <x:f>E21/Resumen!$B$6</x:f>
        <x:v>0.0000011015460198388438</x:v>
      </x:c>
      <x:c r="G21" s="42" t="n">
        <x:f>E21/Resumen!$B$8</x:f>
        <x:v>0.0000026135591448434478</x:v>
      </x:c>
      <x:c r="H21" t="str">
        <x:v>Co-ocurrencia; puede haber otros ataques en el mismo request</x:v>
      </x:c>
    </x:row>
    <x:row r="22">
      <x:c r="A22" t="n">
        <x:v>21</x:v>
      </x:c>
      <x:c r="B22" s="40" t="str">
        <x:v>272 - Protocol Manipulation</x:v>
      </x:c>
      <x:c r="C22" s="40" t="str">
        <x:v>242 - Code Injection</x:v>
      </x:c>
      <x:c r="D22" s="40" t="str">
        <x:v>310 - Scanning for Vulnerable Software</x:v>
      </x:c>
      <x:c r="E22" s="38" t="n">
        <x:v>1</x:v>
      </x:c>
      <x:c r="F22" s="42" t="n">
        <x:f>E22/Resumen!$B$6</x:f>
        <x:v>0.0000011015460198388438</x:v>
      </x:c>
      <x:c r="G22" s="42" t="n">
        <x:f>E22/Resumen!$B$8</x:f>
        <x:v>0.0000026135591448434478</x:v>
      </x:c>
      <x:c r="H22" t="str">
        <x:v>Co-ocurrencia; puede haber otros ataques en el mismo request</x:v>
      </x:c>
    </x:row>
    <x:row r="23">
      <x:c r="A23" t="n">
        <x:v>22</x:v>
      </x:c>
      <x:c r="B23" s="40" t="str">
        <x:v>310 - Scanning for Vulnerable Software</x:v>
      </x:c>
      <x:c r="C23" s="40" t="str">
        <x:v>153 - Input Data Manipulation</x:v>
      </x:c>
      <x:c r="D23" s="40" t="str">
        <x:v>248 - Command Injection</x:v>
      </x:c>
      <x:c r="E23" s="38" t="n">
        <x:v>1</x:v>
      </x:c>
      <x:c r="F23" s="42" t="n">
        <x:f>E23/Resumen!$B$6</x:f>
        <x:v>0.0000011015460198388438</x:v>
      </x:c>
      <x:c r="G23" s="42" t="n">
        <x:f>E23/Resumen!$B$8</x:f>
        <x:v>0.0000026135591448434478</x:v>
      </x:c>
      <x:c r="H23" t="str">
        <x:v>Co-ocurrencia; puede haber otros ataques en el mismo request</x:v>
      </x:c>
    </x:row>
  </x:sheetData>
  <x:pageMargins left="0.7" right="0.7" top="0.75" bottom="0.75" header="0.3" footer="0.3"/>
  <x:tableParts count="1">
    <x:tablePart xmlns:r="http://schemas.openxmlformats.org/officeDocument/2006/relationships" r:id="R89a245789341414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2" hidden="0" customWidth="1"/>
    <x:col min="4" max="4" width="12" hidden="0" customWidth="1"/>
    <x:col min="5" max="5" width="40" hidden="0" customWidth="1"/>
    <x:col min="6" max="6" width="66" hidden="0" customWidth="1"/>
  </x:cols>
  <x:sheetData>
    <x:row r="1" ht="28" customHeight="1">
      <x:c r="A1" s="49" t="str">
        <x:v>Orden en CSV</x:v>
      </x:c>
      <x:c r="B1" s="49" t="str">
        <x:v>Columna original</x:v>
      </x:c>
      <x:c r="C1" s="49" t="str">
        <x:v>Tipo</x:v>
      </x:c>
      <x:c r="D1" s="49" t="str">
        <x:v>CAPEC ID</x:v>
      </x:c>
      <x:c r="E1" s="49" t="str">
        <x:v>Nombre</x:v>
      </x:c>
      <x:c r="F1" s="49" t="str">
        <x:v>Interpretación usada</x:v>
      </x:c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t="n">
        <x:v>1</x:v>
      </x:c>
      <x:c r="B2" s="40" t="str">
        <x:v>000 - Normal</x:v>
      </x:c>
      <x:c r="C2" s="40" t="str">
        <x:v>Normal</x:v>
      </x:c>
      <x:c r="D2" s="40" t="str">
        <x:v>000</x:v>
      </x:c>
      <x:c r="E2" s="40" t="str">
        <x:v>Normal</x:v>
      </x:c>
      <x:c r="F2" s="40" t="str">
        <x:v>Excluida de combinaciones de ataques; usada para identificar requests sin ataque</x:v>
      </x:c>
    </x:row>
    <x:row r="3">
      <x:c r="A3" t="n">
        <x:v>2</x:v>
      </x:c>
      <x:c r="B3" s="40" t="str">
        <x:v>272 - Protocol Manipulation</x:v>
      </x:c>
      <x:c r="C3" s="40" t="str">
        <x:v>Ataque</x:v>
      </x:c>
      <x:c r="D3" s="40" t="str">
        <x:v>272</x:v>
      </x:c>
      <x:c r="E3" s="40" t="str">
        <x:v>Protocol Manipulation</x:v>
      </x:c>
      <x:c r="F3" s="40" t="str">
        <x:v>Incluida en combinaciones exactas y conteos</x:v>
      </x:c>
    </x:row>
    <x:row r="4">
      <x:c r="A4" t="n">
        <x:v>3</x:v>
      </x:c>
      <x:c r="B4" s="40" t="str">
        <x:v>242 - Code Injection</x:v>
      </x:c>
      <x:c r="C4" s="40" t="str">
        <x:v>Ataque</x:v>
      </x:c>
      <x:c r="D4" s="40" t="str">
        <x:v>242</x:v>
      </x:c>
      <x:c r="E4" s="40" t="str">
        <x:v>Code Injection</x:v>
      </x:c>
      <x:c r="F4" s="40" t="str">
        <x:v>Incluida en combinaciones exactas y conteos</x:v>
      </x:c>
    </x:row>
    <x:row r="5">
      <x:c r="A5" t="n">
        <x:v>4</x:v>
      </x:c>
      <x:c r="B5" s="40" t="str">
        <x:v>88 - OS Command Injection</x:v>
      </x:c>
      <x:c r="C5" s="40" t="str">
        <x:v>Ataque</x:v>
      </x:c>
      <x:c r="D5" s="40" t="str">
        <x:v>88</x:v>
      </x:c>
      <x:c r="E5" s="40" t="str">
        <x:v>OS Command Injection</x:v>
      </x:c>
      <x:c r="F5" s="40" t="str">
        <x:v>Incluida en combinaciones exactas y conteos</x:v>
      </x:c>
    </x:row>
    <x:row r="6">
      <x:c r="A6" t="n">
        <x:v>5</x:v>
      </x:c>
      <x:c r="B6" s="40" t="str">
        <x:v>126 - Path Traversal</x:v>
      </x:c>
      <x:c r="C6" s="40" t="str">
        <x:v>Ataque</x:v>
      </x:c>
      <x:c r="D6" s="40" t="str">
        <x:v>126</x:v>
      </x:c>
      <x:c r="E6" s="40" t="str">
        <x:v>Path Traversal</x:v>
      </x:c>
      <x:c r="F6" s="40" t="str">
        <x:v>Incluida en combinaciones exactas y conteos</x:v>
      </x:c>
    </x:row>
    <x:row r="7">
      <x:c r="A7" t="n">
        <x:v>6</x:v>
      </x:c>
      <x:c r="B7" s="40" t="str">
        <x:v>66 - SQL Injection</x:v>
      </x:c>
      <x:c r="C7" s="40" t="str">
        <x:v>Ataque</x:v>
      </x:c>
      <x:c r="D7" s="40" t="str">
        <x:v>66</x:v>
      </x:c>
      <x:c r="E7" s="40" t="str">
        <x:v>SQL Injection</x:v>
      </x:c>
      <x:c r="F7" s="40" t="str">
        <x:v>Incluida en combinaciones exactas y conteos</x:v>
      </x:c>
    </x:row>
    <x:row r="8">
      <x:c r="A8" t="n">
        <x:v>7</x:v>
      </x:c>
      <x:c r="B8" s="40" t="str">
        <x:v>16 - Dictionary-based Password Attack</x:v>
      </x:c>
      <x:c r="C8" s="40" t="str">
        <x:v>Ataque</x:v>
      </x:c>
      <x:c r="D8" s="40" t="str">
        <x:v>16</x:v>
      </x:c>
      <x:c r="E8" s="40" t="str">
        <x:v>Dictionary-based Password Attack</x:v>
      </x:c>
      <x:c r="F8" s="40" t="str">
        <x:v>Incluida en combinaciones exactas y conteos</x:v>
      </x:c>
    </x:row>
    <x:row r="9">
      <x:c r="A9" t="n">
        <x:v>8</x:v>
      </x:c>
      <x:c r="B9" s="40" t="str">
        <x:v>310 - Scanning for Vulnerable Software</x:v>
      </x:c>
      <x:c r="C9" s="40" t="str">
        <x:v>Ataque</x:v>
      </x:c>
      <x:c r="D9" s="40" t="str">
        <x:v>310</x:v>
      </x:c>
      <x:c r="E9" s="40" t="str">
        <x:v>Scanning for Vulnerable Software</x:v>
      </x:c>
      <x:c r="F9" s="40" t="str">
        <x:v>Incluida en combinaciones exactas y conteos</x:v>
      </x:c>
    </x:row>
    <x:row r="10">
      <x:c r="A10" t="n">
        <x:v>9</x:v>
      </x:c>
      <x:c r="B10" s="40" t="str">
        <x:v>153 - Input Data Manipulation</x:v>
      </x:c>
      <x:c r="C10" s="40" t="str">
        <x:v>Ataque</x:v>
      </x:c>
      <x:c r="D10" s="40" t="str">
        <x:v>153</x:v>
      </x:c>
      <x:c r="E10" s="40" t="str">
        <x:v>Input Data Manipulation</x:v>
      </x:c>
      <x:c r="F10" s="40" t="str">
        <x:v>Incluida en combinaciones exactas y conteos</x:v>
      </x:c>
    </x:row>
    <x:row r="11">
      <x:c r="A11" t="n">
        <x:v>10</x:v>
      </x:c>
      <x:c r="B11" s="40" t="str">
        <x:v>248 - Command Injection</x:v>
      </x:c>
      <x:c r="C11" s="40" t="str">
        <x:v>Ataque</x:v>
      </x:c>
      <x:c r="D11" s="40" t="str">
        <x:v>248</x:v>
      </x:c>
      <x:c r="E11" s="40" t="str">
        <x:v>Command Injection</x:v>
      </x:c>
      <x:c r="F11" s="40" t="str">
        <x:v>Incluida en combinaciones exactas y conteos</x:v>
      </x:c>
    </x:row>
    <x:row r="12">
      <x:c r="A12" t="n">
        <x:v>11</x:v>
      </x:c>
      <x:c r="B12" s="40" t="str">
        <x:v>274 - HTTP Verb Tampering</x:v>
      </x:c>
      <x:c r="C12" s="40" t="str">
        <x:v>Ataque</x:v>
      </x:c>
      <x:c r="D12" s="40" t="str">
        <x:v>274</x:v>
      </x:c>
      <x:c r="E12" s="40" t="str">
        <x:v>HTTP Verb Tampering</x:v>
      </x:c>
      <x:c r="F12" s="40" t="str">
        <x:v>Incluida en combinaciones exactas y conteos</x:v>
      </x:c>
    </x:row>
    <x:row r="13">
      <x:c r="A13" t="n">
        <x:v>12</x:v>
      </x:c>
      <x:c r="B13" s="40" t="str">
        <x:v>194 - Fake the Source of Data</x:v>
      </x:c>
      <x:c r="C13" s="40" t="str">
        <x:v>Ataque</x:v>
      </x:c>
      <x:c r="D13" s="40" t="str">
        <x:v>194</x:v>
      </x:c>
      <x:c r="E13" s="40" t="str">
        <x:v>Fake the Source of Data</x:v>
      </x:c>
      <x:c r="F13" s="40" t="str">
        <x:v>Incluida en combinaciones exactas y conteos</x:v>
      </x:c>
    </x:row>
    <x:row r="14">
      <x:c r="A14" t="n">
        <x:v>13</x:v>
      </x:c>
      <x:c r="B14" s="40" t="str">
        <x:v>34 - HTTP Response Splitting</x:v>
      </x:c>
      <x:c r="C14" s="40" t="str">
        <x:v>Ataque</x:v>
      </x:c>
      <x:c r="D14" s="40" t="str">
        <x:v>34</x:v>
      </x:c>
      <x:c r="E14" s="40" t="str">
        <x:v>HTTP Response Splitting</x:v>
      </x:c>
      <x:c r="F14" s="40" t="str">
        <x:v>Incluida en combinaciones exactas y conteos</x:v>
      </x:c>
    </x:row>
    <x:row r="15">
      <x:c r="A15" t="n">
        <x:v>14</x:v>
      </x:c>
      <x:c r="B15" s="40" t="str">
        <x:v>33 - HTTP Request Smuggling</x:v>
      </x:c>
      <x:c r="C15" s="40" t="str">
        <x:v>Ataque</x:v>
      </x:c>
      <x:c r="D15" s="40" t="str">
        <x:v>33</x:v>
      </x:c>
      <x:c r="E15" s="40" t="str">
        <x:v>HTTP Request Smuggling</x:v>
      </x:c>
      <x:c r="F15" s="40" t="str">
        <x:v>Incluida en combinaciones exactas y conteos</x:v>
      </x:c>
    </x:row>
  </x:sheetData>
  <x:pageMargins left="0.7" right="0.7" top="0.75" bottom="0.75" header="0.3" footer="0.3"/>
  <x:tableParts count="1">
    <x:tablePart xmlns:r="http://schemas.openxmlformats.org/officeDocument/2006/relationships" r:id="Rb9c9cb810ea54fa2"/>
  </x:tableParts>
</x:worksheet>
</file>